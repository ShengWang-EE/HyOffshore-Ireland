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ucd-my.sharepoint.com/personal/sheng_wang_ucd_ie/Documents/Documents_UCD/Code/Matlab code/J13 offshore wind hydrogen/"/>
    </mc:Choice>
  </mc:AlternateContent>
  <xr:revisionPtr revIDLastSave="106" documentId="11_AD4DA82427541F7ACA7EB8FDD80802DA6AE8DE11" xr6:coauthVersionLast="47" xr6:coauthVersionMax="47" xr10:uidLastSave="{A18756E9-0DD2-4613-9394-131FBA8D820A}"/>
  <bookViews>
    <workbookView xWindow="-103" yWindow="9154" windowWidth="24892" windowHeight="14915" activeTab="1" xr2:uid="{00000000-000D-0000-FFFF-FFFF00000000}"/>
  </bookViews>
  <sheets>
    <sheet name="Sheet1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5" i="2" l="1"/>
  <c r="AB55" i="2"/>
  <c r="X55" i="2"/>
  <c r="S55" i="2"/>
  <c r="R55" i="2"/>
  <c r="N55" i="2"/>
  <c r="H55" i="2"/>
  <c r="D55" i="2"/>
  <c r="I37" i="1"/>
  <c r="I36" i="1"/>
  <c r="I35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" i="1"/>
</calcChain>
</file>

<file path=xl/sharedStrings.xml><?xml version="1.0" encoding="utf-8"?>
<sst xmlns="http://schemas.openxmlformats.org/spreadsheetml/2006/main" count="91" uniqueCount="19">
  <si>
    <t>Year</t>
  </si>
  <si>
    <t>Power</t>
  </si>
  <si>
    <t>Industrial &amp; Commercial</t>
  </si>
  <si>
    <t>Residential</t>
  </si>
  <si>
    <t>Transport</t>
  </si>
  <si>
    <t>Own use</t>
  </si>
  <si>
    <t>Isle of Man</t>
  </si>
  <si>
    <t>Northern Ireland</t>
  </si>
  <si>
    <t>best estimate</t>
  </si>
  <si>
    <t>Total</t>
  </si>
  <si>
    <t>low demand</t>
  </si>
  <si>
    <t>high demand</t>
  </si>
  <si>
    <t>factors compared to 2021</t>
  </si>
  <si>
    <t>Time</t>
  </si>
  <si>
    <t>Generation</t>
  </si>
  <si>
    <t>Remainning capacity</t>
  </si>
  <si>
    <t>Accomadation rate</t>
  </si>
  <si>
    <t>hour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</si>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</sst>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0" borderId="0" xfId="0" applyFont="1"/>
  </cellXfs>
  <cellStyles count="2">
    <cellStyle name="好" xfId="1" builtinId="26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"/>
  <sheetViews>
    <sheetView zoomScale="70" zoomScaleNormal="70" workbookViewId="0">
      <selection activeCell="I37" sqref="I37"/>
    </sheetView>
  </sheetViews>
  <sheetFormatPr defaultRowHeight="15" x14ac:dyDescent="0.25"/>
  <sheetData>
    <row r="1" spans="1:31" x14ac:dyDescent="0.25">
      <c r="A1" s="1" t="s">
        <v>8</v>
      </c>
      <c r="L1" s="1" t="s">
        <v>10</v>
      </c>
      <c r="W1" s="1" t="s">
        <v>11</v>
      </c>
    </row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9</v>
      </c>
      <c r="L2" t="s">
        <v>0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9</v>
      </c>
      <c r="W2" t="s">
        <v>0</v>
      </c>
      <c r="X2" t="s">
        <v>1</v>
      </c>
      <c r="Y2" t="s">
        <v>2</v>
      </c>
      <c r="Z2" t="s">
        <v>3</v>
      </c>
      <c r="AA2" t="s">
        <v>4</v>
      </c>
      <c r="AB2" t="s">
        <v>5</v>
      </c>
      <c r="AC2" t="s">
        <v>6</v>
      </c>
      <c r="AD2" t="s">
        <v>7</v>
      </c>
      <c r="AE2" t="s">
        <v>9</v>
      </c>
    </row>
    <row r="3" spans="1:31" x14ac:dyDescent="0.25">
      <c r="A3">
        <v>2021</v>
      </c>
      <c r="B3">
        <v>12.765510000000001</v>
      </c>
      <c r="C3">
        <v>5.0411599999999996</v>
      </c>
      <c r="D3">
        <v>2.5838199999999998</v>
      </c>
      <c r="E3">
        <v>9.0299999999999998E-3</v>
      </c>
      <c r="F3">
        <v>0.14455000000000001</v>
      </c>
      <c r="G3">
        <v>0.58723000000000003</v>
      </c>
      <c r="H3">
        <v>7.7243500000000003</v>
      </c>
      <c r="I3">
        <f>SUM(B3:H3)</f>
        <v>28.855650000000001</v>
      </c>
      <c r="L3">
        <v>2021</v>
      </c>
      <c r="M3">
        <v>10.190720000000001</v>
      </c>
      <c r="N3">
        <v>5.5290100000000004</v>
      </c>
      <c r="O3">
        <v>4.1557899999999997</v>
      </c>
      <c r="P3">
        <v>9.0299999999999998E-3</v>
      </c>
      <c r="Q3">
        <v>0.19875999999999999</v>
      </c>
      <c r="R3">
        <v>0.58723000000000003</v>
      </c>
      <c r="S3">
        <v>7.7243500000000003</v>
      </c>
      <c r="T3">
        <f>SUM(M3:S3)</f>
        <v>28.394890000000004</v>
      </c>
      <c r="W3">
        <v>2021</v>
      </c>
      <c r="X3">
        <v>10.651479999999999</v>
      </c>
      <c r="Y3">
        <v>5.7187299999999999</v>
      </c>
      <c r="Z3">
        <v>4.1648300000000003</v>
      </c>
      <c r="AA3">
        <v>9.0299999999999998E-3</v>
      </c>
      <c r="AB3">
        <v>0.19875999999999999</v>
      </c>
      <c r="AC3">
        <v>0.58723000000000003</v>
      </c>
      <c r="AD3">
        <v>7.7243500000000003</v>
      </c>
      <c r="AE3">
        <f>SUM(X3:AD3)</f>
        <v>29.054410000000004</v>
      </c>
    </row>
    <row r="4" spans="1:31" x14ac:dyDescent="0.25">
      <c r="A4">
        <v>2022</v>
      </c>
      <c r="B4">
        <v>12.72034</v>
      </c>
      <c r="C4">
        <v>5.5832199999999998</v>
      </c>
      <c r="D4">
        <v>2.7193299999999998</v>
      </c>
      <c r="E4">
        <v>9.0299999999999998E-3</v>
      </c>
      <c r="F4">
        <v>0.16261999999999999</v>
      </c>
      <c r="G4">
        <v>0.58723000000000003</v>
      </c>
      <c r="H4">
        <v>7.2274599999999998</v>
      </c>
      <c r="I4">
        <f t="shared" ref="I4:I32" si="0">SUM(B4:H4)</f>
        <v>29.009230000000002</v>
      </c>
      <c r="L4">
        <v>2022</v>
      </c>
      <c r="M4">
        <v>12.919090000000001</v>
      </c>
      <c r="N4">
        <v>5.2489499999999998</v>
      </c>
      <c r="O4">
        <v>2.1501700000000001</v>
      </c>
      <c r="P4">
        <v>9.0299999999999998E-3</v>
      </c>
      <c r="Q4">
        <v>0.13550999999999999</v>
      </c>
      <c r="R4">
        <v>0.58723000000000003</v>
      </c>
      <c r="S4">
        <v>7.2274599999999998</v>
      </c>
      <c r="T4">
        <f t="shared" ref="T4:T32" si="1">SUM(M4:S4)</f>
        <v>28.277440000000002</v>
      </c>
      <c r="W4">
        <v>2022</v>
      </c>
      <c r="X4">
        <v>11.139329999999999</v>
      </c>
      <c r="Y4">
        <v>6.1072100000000002</v>
      </c>
      <c r="Z4">
        <v>3.9751099999999999</v>
      </c>
      <c r="AA4">
        <v>9.0299999999999998E-3</v>
      </c>
      <c r="AB4">
        <v>0.21682000000000001</v>
      </c>
      <c r="AC4">
        <v>0.58723000000000003</v>
      </c>
      <c r="AD4">
        <v>7.2274599999999998</v>
      </c>
      <c r="AE4">
        <f t="shared" ref="AE4:AE32" si="2">SUM(X4:AD4)</f>
        <v>29.26219</v>
      </c>
    </row>
    <row r="5" spans="1:31" x14ac:dyDescent="0.25">
      <c r="A5">
        <v>2023</v>
      </c>
      <c r="B5">
        <v>14.689819999999999</v>
      </c>
      <c r="C5">
        <v>8.8626799999999992</v>
      </c>
      <c r="D5">
        <v>4.2641999999999998</v>
      </c>
      <c r="E5">
        <v>1.8069999999999999E-2</v>
      </c>
      <c r="F5">
        <v>0.23488999999999999</v>
      </c>
      <c r="G5">
        <v>0.59626999999999997</v>
      </c>
      <c r="H5">
        <v>9.5492899999999992</v>
      </c>
      <c r="I5">
        <f t="shared" si="0"/>
        <v>38.215220000000002</v>
      </c>
      <c r="L5">
        <v>2023</v>
      </c>
      <c r="M5">
        <v>13.64184</v>
      </c>
      <c r="N5">
        <v>7.1642200000000003</v>
      </c>
      <c r="O5">
        <v>3.9299300000000001</v>
      </c>
      <c r="P5">
        <v>9.0299999999999998E-3</v>
      </c>
      <c r="Q5">
        <v>0.19875999999999999</v>
      </c>
      <c r="R5">
        <v>0.59626999999999997</v>
      </c>
      <c r="S5">
        <v>9.5492899999999992</v>
      </c>
      <c r="T5">
        <f t="shared" si="1"/>
        <v>35.08934</v>
      </c>
      <c r="W5">
        <v>2023</v>
      </c>
      <c r="X5">
        <v>15.195740000000001</v>
      </c>
      <c r="Y5">
        <v>8.9259199999999996</v>
      </c>
      <c r="Z5">
        <v>4.3364799999999999</v>
      </c>
      <c r="AA5">
        <v>1.8069999999999999E-2</v>
      </c>
      <c r="AB5">
        <v>0.23488999999999999</v>
      </c>
      <c r="AC5">
        <v>0.59626999999999997</v>
      </c>
      <c r="AD5">
        <v>9.5492899999999992</v>
      </c>
      <c r="AE5">
        <f t="shared" si="2"/>
        <v>38.856660000000005</v>
      </c>
    </row>
    <row r="6" spans="1:31" x14ac:dyDescent="0.25">
      <c r="A6">
        <v>2024</v>
      </c>
      <c r="B6">
        <v>14.34652</v>
      </c>
      <c r="C6">
        <v>8.8536400000000004</v>
      </c>
      <c r="D6">
        <v>4.1286899999999997</v>
      </c>
      <c r="E6">
        <v>3.6139999999999999E-2</v>
      </c>
      <c r="F6">
        <v>0.21682000000000001</v>
      </c>
      <c r="G6">
        <v>0.55108999999999997</v>
      </c>
      <c r="H6">
        <v>9.5221800000000005</v>
      </c>
      <c r="I6">
        <f t="shared" si="0"/>
        <v>37.655079999999998</v>
      </c>
      <c r="L6">
        <v>2024</v>
      </c>
      <c r="M6">
        <v>13.117850000000001</v>
      </c>
      <c r="N6">
        <v>7.8237300000000003</v>
      </c>
      <c r="O6">
        <v>3.8938000000000001</v>
      </c>
      <c r="P6">
        <v>2.7099999999999999E-2</v>
      </c>
      <c r="Q6">
        <v>0.20779</v>
      </c>
      <c r="R6">
        <v>0.55108999999999997</v>
      </c>
      <c r="S6">
        <v>9.5221800000000005</v>
      </c>
      <c r="T6">
        <f t="shared" si="1"/>
        <v>35.143540000000002</v>
      </c>
      <c r="W6">
        <v>2024</v>
      </c>
      <c r="X6">
        <v>15.76491</v>
      </c>
      <c r="Y6">
        <v>8.9710900000000002</v>
      </c>
      <c r="Z6">
        <v>4.1557899999999997</v>
      </c>
      <c r="AA6">
        <v>3.6139999999999999E-2</v>
      </c>
      <c r="AB6">
        <v>0.22586000000000001</v>
      </c>
      <c r="AC6">
        <v>0.55108999999999997</v>
      </c>
      <c r="AD6">
        <v>9.5221800000000005</v>
      </c>
      <c r="AE6">
        <f t="shared" si="2"/>
        <v>39.227060000000002</v>
      </c>
    </row>
    <row r="7" spans="1:31" x14ac:dyDescent="0.25">
      <c r="A7">
        <v>2025</v>
      </c>
      <c r="B7">
        <v>13.515359999999999</v>
      </c>
      <c r="C7">
        <v>9.3505299999999991</v>
      </c>
      <c r="D7">
        <v>4.0654500000000002</v>
      </c>
      <c r="E7">
        <v>5.4210000000000001E-2</v>
      </c>
      <c r="F7">
        <v>0.22586000000000001</v>
      </c>
      <c r="G7">
        <v>0.48785000000000001</v>
      </c>
      <c r="H7">
        <v>9.3234300000000001</v>
      </c>
      <c r="I7">
        <f t="shared" si="0"/>
        <v>37.022690000000004</v>
      </c>
      <c r="L7">
        <v>2025</v>
      </c>
      <c r="M7">
        <v>13.506320000000001</v>
      </c>
      <c r="N7">
        <v>7.5346299999999999</v>
      </c>
      <c r="O7">
        <v>3.6137299999999999</v>
      </c>
      <c r="P7">
        <v>3.6139999999999999E-2</v>
      </c>
      <c r="Q7">
        <v>0.19875999999999999</v>
      </c>
      <c r="R7">
        <v>0.48785000000000001</v>
      </c>
      <c r="S7">
        <v>9.3234300000000001</v>
      </c>
      <c r="T7">
        <f t="shared" si="1"/>
        <v>34.700860000000006</v>
      </c>
      <c r="W7">
        <v>2025</v>
      </c>
      <c r="X7">
        <v>14.969889999999999</v>
      </c>
      <c r="Y7">
        <v>9.67577</v>
      </c>
      <c r="Z7">
        <v>3.98414</v>
      </c>
      <c r="AA7">
        <v>6.3240000000000005E-2</v>
      </c>
      <c r="AB7">
        <v>0.22586000000000001</v>
      </c>
      <c r="AC7">
        <v>0.48785000000000001</v>
      </c>
      <c r="AD7">
        <v>9.3234300000000001</v>
      </c>
      <c r="AE7">
        <f t="shared" si="2"/>
        <v>38.730180000000004</v>
      </c>
    </row>
    <row r="8" spans="1:31" x14ac:dyDescent="0.25">
      <c r="A8">
        <v>2026</v>
      </c>
      <c r="B8">
        <v>13.56053</v>
      </c>
      <c r="C8">
        <v>8.3296500000000009</v>
      </c>
      <c r="D8">
        <v>4.0112399999999999</v>
      </c>
      <c r="E8">
        <v>8.1309999999999993E-2</v>
      </c>
      <c r="F8">
        <v>0.23488999999999999</v>
      </c>
      <c r="G8">
        <v>0.48785000000000001</v>
      </c>
      <c r="H8">
        <v>9.3053600000000003</v>
      </c>
      <c r="I8">
        <f t="shared" si="0"/>
        <v>36.010829999999999</v>
      </c>
      <c r="L8">
        <v>2026</v>
      </c>
      <c r="M8">
        <v>12.783580000000001</v>
      </c>
      <c r="N8">
        <v>6.2336900000000002</v>
      </c>
      <c r="O8">
        <v>3.9389699999999999</v>
      </c>
      <c r="P8">
        <v>6.3240000000000005E-2</v>
      </c>
      <c r="Q8">
        <v>0.20779</v>
      </c>
      <c r="R8">
        <v>0.48785000000000001</v>
      </c>
      <c r="S8">
        <v>9.3053600000000003</v>
      </c>
      <c r="T8">
        <f t="shared" si="1"/>
        <v>33.020480000000006</v>
      </c>
      <c r="W8">
        <v>2026</v>
      </c>
      <c r="X8">
        <v>15.09637</v>
      </c>
      <c r="Y8">
        <v>8.8175100000000004</v>
      </c>
      <c r="Z8">
        <v>3.88476</v>
      </c>
      <c r="AA8">
        <v>9.9379999999999996E-2</v>
      </c>
      <c r="AB8">
        <v>0.23488999999999999</v>
      </c>
      <c r="AC8">
        <v>0.48785000000000001</v>
      </c>
      <c r="AD8">
        <v>9.3053600000000003</v>
      </c>
      <c r="AE8">
        <f t="shared" si="2"/>
        <v>37.926119999999997</v>
      </c>
    </row>
    <row r="9" spans="1:31" x14ac:dyDescent="0.25">
      <c r="A9">
        <v>2027</v>
      </c>
      <c r="B9">
        <v>13.370810000000001</v>
      </c>
      <c r="C9">
        <v>8.42</v>
      </c>
      <c r="D9">
        <v>3.948</v>
      </c>
      <c r="E9">
        <v>0.10841000000000001</v>
      </c>
      <c r="F9">
        <v>0.23488999999999999</v>
      </c>
      <c r="G9">
        <v>0.47882000000000002</v>
      </c>
      <c r="H9">
        <v>9.81128</v>
      </c>
      <c r="I9">
        <f t="shared" si="0"/>
        <v>36.372209999999995</v>
      </c>
      <c r="L9">
        <v>2027</v>
      </c>
      <c r="M9">
        <v>12.295719999999999</v>
      </c>
      <c r="N9">
        <v>6.3963099999999997</v>
      </c>
      <c r="O9">
        <v>3.4782199999999999</v>
      </c>
      <c r="P9">
        <v>8.1309999999999993E-2</v>
      </c>
      <c r="Q9">
        <v>0.19875999999999999</v>
      </c>
      <c r="R9">
        <v>0.47882000000000002</v>
      </c>
      <c r="S9">
        <v>9.81128</v>
      </c>
      <c r="T9">
        <f t="shared" si="1"/>
        <v>32.74042</v>
      </c>
      <c r="W9">
        <v>2027</v>
      </c>
      <c r="X9">
        <v>15.548080000000001</v>
      </c>
      <c r="Y9">
        <v>8.4109599999999993</v>
      </c>
      <c r="Z9">
        <v>3.8395899999999998</v>
      </c>
      <c r="AA9">
        <v>0.13550999999999999</v>
      </c>
      <c r="AB9">
        <v>0.22586000000000001</v>
      </c>
      <c r="AC9">
        <v>0.47882000000000002</v>
      </c>
      <c r="AD9">
        <v>9.81128</v>
      </c>
      <c r="AE9">
        <f t="shared" si="2"/>
        <v>38.450100000000006</v>
      </c>
    </row>
    <row r="10" spans="1:31" x14ac:dyDescent="0.25">
      <c r="A10">
        <v>2028</v>
      </c>
      <c r="B10">
        <v>13.03654</v>
      </c>
      <c r="C10">
        <v>8.3115799999999993</v>
      </c>
      <c r="D10">
        <v>3.9931700000000001</v>
      </c>
      <c r="E10">
        <v>0.11745</v>
      </c>
      <c r="F10">
        <v>0.23488999999999999</v>
      </c>
      <c r="G10">
        <v>0.45172000000000001</v>
      </c>
      <c r="H10">
        <v>9.1698500000000003</v>
      </c>
      <c r="I10">
        <f t="shared" si="0"/>
        <v>35.315200000000004</v>
      </c>
      <c r="L10">
        <v>2028</v>
      </c>
      <c r="M10">
        <v>12.196350000000001</v>
      </c>
      <c r="N10">
        <v>6.3330700000000002</v>
      </c>
      <c r="O10">
        <v>3.3788399999999998</v>
      </c>
      <c r="P10">
        <v>9.0340000000000004E-2</v>
      </c>
      <c r="Q10">
        <v>0.18972</v>
      </c>
      <c r="R10">
        <v>0.45172000000000001</v>
      </c>
      <c r="S10">
        <v>9.1698500000000003</v>
      </c>
      <c r="T10">
        <f t="shared" si="1"/>
        <v>31.809890000000006</v>
      </c>
      <c r="W10">
        <v>2028</v>
      </c>
      <c r="X10">
        <v>15.09637</v>
      </c>
      <c r="Y10">
        <v>8.1399299999999997</v>
      </c>
      <c r="Z10">
        <v>3.7131099999999999</v>
      </c>
      <c r="AA10">
        <v>0.15357999999999999</v>
      </c>
      <c r="AB10">
        <v>0.21682000000000001</v>
      </c>
      <c r="AC10">
        <v>0.45172000000000001</v>
      </c>
      <c r="AD10">
        <v>9.1698500000000003</v>
      </c>
      <c r="AE10">
        <f t="shared" si="2"/>
        <v>36.941380000000002</v>
      </c>
    </row>
    <row r="11" spans="1:31" x14ac:dyDescent="0.25">
      <c r="A11">
        <v>2029</v>
      </c>
      <c r="B11">
        <v>12.44027</v>
      </c>
      <c r="C11">
        <v>8.3386899999999997</v>
      </c>
      <c r="D11">
        <v>3.9389699999999999</v>
      </c>
      <c r="E11">
        <v>0.12648000000000001</v>
      </c>
      <c r="F11">
        <v>0.23488999999999999</v>
      </c>
      <c r="G11">
        <v>0.47882000000000002</v>
      </c>
      <c r="H11">
        <v>8.6368200000000002</v>
      </c>
      <c r="I11">
        <f t="shared" si="0"/>
        <v>34.194940000000003</v>
      </c>
      <c r="L11">
        <v>2029</v>
      </c>
      <c r="M11">
        <v>10.29914</v>
      </c>
      <c r="N11">
        <v>6.5227899999999996</v>
      </c>
      <c r="O11">
        <v>3.4782199999999999</v>
      </c>
      <c r="P11">
        <v>9.0340000000000004E-2</v>
      </c>
      <c r="Q11">
        <v>0.19875999999999999</v>
      </c>
      <c r="R11">
        <v>0.47882000000000002</v>
      </c>
      <c r="S11">
        <v>8.6368200000000002</v>
      </c>
      <c r="T11">
        <f t="shared" si="1"/>
        <v>29.704889999999999</v>
      </c>
      <c r="W11">
        <v>2029</v>
      </c>
      <c r="X11">
        <v>13.099780000000001</v>
      </c>
      <c r="Y11">
        <v>9.0433599999999998</v>
      </c>
      <c r="Z11">
        <v>4.2190300000000001</v>
      </c>
      <c r="AA11">
        <v>0.15357999999999999</v>
      </c>
      <c r="AB11">
        <v>0.26200000000000001</v>
      </c>
      <c r="AC11">
        <v>0.47882000000000002</v>
      </c>
      <c r="AD11">
        <v>8.6368200000000002</v>
      </c>
      <c r="AE11">
        <f t="shared" si="2"/>
        <v>35.893390000000004</v>
      </c>
    </row>
    <row r="12" spans="1:31" x14ac:dyDescent="0.25">
      <c r="A12">
        <v>2030</v>
      </c>
      <c r="B12">
        <v>13.018470000000001</v>
      </c>
      <c r="C12">
        <v>8.0586199999999995</v>
      </c>
      <c r="D12">
        <v>2.90002</v>
      </c>
      <c r="E12">
        <v>0.12648000000000001</v>
      </c>
      <c r="F12">
        <v>0.19875999999999999</v>
      </c>
      <c r="G12">
        <v>0.47882000000000002</v>
      </c>
      <c r="H12">
        <v>8.7723300000000002</v>
      </c>
      <c r="I12">
        <f t="shared" si="0"/>
        <v>33.5535</v>
      </c>
      <c r="L12">
        <v>2030</v>
      </c>
      <c r="M12">
        <v>10.69665</v>
      </c>
      <c r="N12">
        <v>5.8361799999999997</v>
      </c>
      <c r="O12">
        <v>3.3878699999999999</v>
      </c>
      <c r="P12">
        <v>9.0340000000000004E-2</v>
      </c>
      <c r="Q12">
        <v>0.18068999999999999</v>
      </c>
      <c r="R12">
        <v>0.47882000000000002</v>
      </c>
      <c r="S12">
        <v>8.7723300000000002</v>
      </c>
      <c r="T12">
        <f t="shared" si="1"/>
        <v>29.442879999999999</v>
      </c>
      <c r="W12">
        <v>2030</v>
      </c>
      <c r="X12">
        <v>12.20538</v>
      </c>
      <c r="Y12">
        <v>9.0072299999999998</v>
      </c>
      <c r="Z12">
        <v>3.6408399999999999</v>
      </c>
      <c r="AA12">
        <v>0.15357999999999999</v>
      </c>
      <c r="AB12">
        <v>0.21682000000000001</v>
      </c>
      <c r="AC12">
        <v>0.47882000000000002</v>
      </c>
      <c r="AD12">
        <v>8.7723300000000002</v>
      </c>
      <c r="AE12">
        <f t="shared" si="2"/>
        <v>34.474999999999994</v>
      </c>
    </row>
    <row r="13" spans="1:31" x14ac:dyDescent="0.25">
      <c r="A13">
        <v>2031</v>
      </c>
      <c r="B13">
        <v>13.103770000000001</v>
      </c>
      <c r="C13">
        <v>7.8163900000000002</v>
      </c>
      <c r="D13">
        <v>3.3414799999999998</v>
      </c>
      <c r="E13">
        <v>0.12142</v>
      </c>
      <c r="F13">
        <v>0.18740000000000001</v>
      </c>
      <c r="G13">
        <v>0.45738000000000001</v>
      </c>
      <c r="H13">
        <v>8.4142100000000006</v>
      </c>
      <c r="I13">
        <f t="shared" si="0"/>
        <v>33.442050000000009</v>
      </c>
      <c r="L13">
        <v>2031</v>
      </c>
      <c r="M13">
        <v>9.1209900000000008</v>
      </c>
      <c r="N13">
        <v>5.8200700000000003</v>
      </c>
      <c r="O13">
        <v>3.3414799999999998</v>
      </c>
      <c r="P13">
        <v>8.2970000000000002E-2</v>
      </c>
      <c r="Q13">
        <v>0.18740000000000001</v>
      </c>
      <c r="R13">
        <v>0.45738000000000001</v>
      </c>
      <c r="S13">
        <v>8.4142100000000006</v>
      </c>
      <c r="T13">
        <f t="shared" si="1"/>
        <v>27.424500000000002</v>
      </c>
      <c r="W13">
        <v>2031</v>
      </c>
      <c r="X13">
        <v>13.103770000000001</v>
      </c>
      <c r="Y13">
        <v>9.3234499999999993</v>
      </c>
      <c r="Z13">
        <v>3.9449000000000001</v>
      </c>
      <c r="AA13">
        <v>0.16522999999999999</v>
      </c>
      <c r="AB13">
        <v>0.22770000000000001</v>
      </c>
      <c r="AC13">
        <v>0.45738000000000001</v>
      </c>
      <c r="AD13">
        <v>8.4142100000000006</v>
      </c>
      <c r="AE13">
        <f t="shared" si="2"/>
        <v>35.63664</v>
      </c>
    </row>
    <row r="14" spans="1:31" x14ac:dyDescent="0.25">
      <c r="A14">
        <v>2032</v>
      </c>
      <c r="B14">
        <v>12.69281</v>
      </c>
      <c r="C14">
        <v>7.4165799999999997</v>
      </c>
      <c r="D14">
        <v>3.30707</v>
      </c>
      <c r="E14">
        <v>0.11079</v>
      </c>
      <c r="F14">
        <v>0.17651</v>
      </c>
      <c r="G14">
        <v>0.46421000000000001</v>
      </c>
      <c r="H14">
        <v>8.1684699999999992</v>
      </c>
      <c r="I14">
        <f t="shared" si="0"/>
        <v>32.336439999999996</v>
      </c>
      <c r="L14">
        <v>2032</v>
      </c>
      <c r="M14">
        <v>8.0703099999999992</v>
      </c>
      <c r="N14">
        <v>5.8159099999999997</v>
      </c>
      <c r="O14">
        <v>3.30707</v>
      </c>
      <c r="P14">
        <v>7.5259999999999994E-2</v>
      </c>
      <c r="Q14">
        <v>0.17651</v>
      </c>
      <c r="R14">
        <v>0.46421000000000001</v>
      </c>
      <c r="S14">
        <v>8.1684699999999992</v>
      </c>
      <c r="T14">
        <f t="shared" si="1"/>
        <v>26.077739999999999</v>
      </c>
      <c r="W14">
        <v>2032</v>
      </c>
      <c r="X14">
        <v>12.69281</v>
      </c>
      <c r="Y14">
        <v>8.7312899999999996</v>
      </c>
      <c r="Z14">
        <v>3.7993899999999998</v>
      </c>
      <c r="AA14">
        <v>0.18878</v>
      </c>
      <c r="AB14">
        <v>0.24525</v>
      </c>
      <c r="AC14">
        <v>0.46421000000000001</v>
      </c>
      <c r="AD14">
        <v>8.1684699999999992</v>
      </c>
      <c r="AE14">
        <f t="shared" si="2"/>
        <v>34.290199999999999</v>
      </c>
    </row>
    <row r="15" spans="1:31" x14ac:dyDescent="0.25">
      <c r="A15">
        <v>2033</v>
      </c>
      <c r="B15">
        <v>12.63355</v>
      </c>
      <c r="C15">
        <v>7.1500300000000001</v>
      </c>
      <c r="D15">
        <v>3.23272</v>
      </c>
      <c r="E15">
        <v>9.6790000000000001E-2</v>
      </c>
      <c r="F15">
        <v>0.17566999999999999</v>
      </c>
      <c r="G15">
        <v>0.47682999999999998</v>
      </c>
      <c r="H15">
        <v>8.0090800000000009</v>
      </c>
      <c r="I15">
        <f t="shared" si="0"/>
        <v>31.77467</v>
      </c>
      <c r="L15">
        <v>2033</v>
      </c>
      <c r="M15">
        <v>7.33345</v>
      </c>
      <c r="N15">
        <v>6.1832399999999996</v>
      </c>
      <c r="O15">
        <v>3.23272</v>
      </c>
      <c r="P15">
        <v>6.3960000000000003E-2</v>
      </c>
      <c r="Q15">
        <v>0.17566999999999999</v>
      </c>
      <c r="R15">
        <v>0.47682999999999998</v>
      </c>
      <c r="S15">
        <v>8.0090800000000009</v>
      </c>
      <c r="T15">
        <f t="shared" si="1"/>
        <v>25.474950000000003</v>
      </c>
      <c r="W15">
        <v>2033</v>
      </c>
      <c r="X15">
        <v>12.63355</v>
      </c>
      <c r="Y15">
        <v>8.6043500000000002</v>
      </c>
      <c r="Z15">
        <v>3.8663599999999998</v>
      </c>
      <c r="AA15">
        <v>0.21672</v>
      </c>
      <c r="AB15">
        <v>0.22081999999999999</v>
      </c>
      <c r="AC15">
        <v>0.47682999999999998</v>
      </c>
      <c r="AD15">
        <v>8.0090800000000009</v>
      </c>
      <c r="AE15">
        <f t="shared" si="2"/>
        <v>34.027709999999999</v>
      </c>
    </row>
    <row r="16" spans="1:31" x14ac:dyDescent="0.25">
      <c r="A16">
        <v>2034</v>
      </c>
      <c r="B16">
        <v>12.72369</v>
      </c>
      <c r="C16">
        <v>6.8374800000000002</v>
      </c>
      <c r="D16">
        <v>3.2047400000000001</v>
      </c>
      <c r="E16">
        <v>8.0589999999999995E-2</v>
      </c>
      <c r="F16">
        <v>0.17108999999999999</v>
      </c>
      <c r="G16">
        <v>0.47106999999999999</v>
      </c>
      <c r="H16">
        <v>7.7690299999999999</v>
      </c>
      <c r="I16">
        <f t="shared" si="0"/>
        <v>31.257690000000004</v>
      </c>
      <c r="L16">
        <v>2034</v>
      </c>
      <c r="M16">
        <v>5.7602099999999998</v>
      </c>
      <c r="N16">
        <v>6.0942100000000003</v>
      </c>
      <c r="O16">
        <v>3.2047400000000001</v>
      </c>
      <c r="P16">
        <v>5.389E-2</v>
      </c>
      <c r="Q16">
        <v>0.17108999999999999</v>
      </c>
      <c r="R16">
        <v>0.47106999999999999</v>
      </c>
      <c r="S16">
        <v>7.7690299999999999</v>
      </c>
      <c r="T16">
        <f t="shared" si="1"/>
        <v>23.524240000000002</v>
      </c>
      <c r="W16">
        <v>2034</v>
      </c>
      <c r="X16">
        <v>12.72369</v>
      </c>
      <c r="Y16">
        <v>8.0790299999999995</v>
      </c>
      <c r="Z16">
        <v>3.8161999999999998</v>
      </c>
      <c r="AA16">
        <v>0.24110999999999999</v>
      </c>
      <c r="AB16">
        <v>0.22942000000000001</v>
      </c>
      <c r="AC16">
        <v>0.47106999999999999</v>
      </c>
      <c r="AD16">
        <v>7.7690299999999999</v>
      </c>
      <c r="AE16">
        <f t="shared" si="2"/>
        <v>33.329549999999998</v>
      </c>
    </row>
    <row r="17" spans="1:31" x14ac:dyDescent="0.25">
      <c r="A17">
        <v>2035</v>
      </c>
      <c r="B17">
        <v>12.608000000000001</v>
      </c>
      <c r="C17">
        <v>6.6440000000000001</v>
      </c>
      <c r="D17">
        <v>3.1382599999999998</v>
      </c>
      <c r="E17">
        <v>6.3710000000000003E-2</v>
      </c>
      <c r="F17">
        <v>0.16650999999999999</v>
      </c>
      <c r="G17">
        <v>0.46997</v>
      </c>
      <c r="H17">
        <v>7.5651900000000003</v>
      </c>
      <c r="I17">
        <f t="shared" si="0"/>
        <v>30.655640000000002</v>
      </c>
      <c r="L17">
        <v>2035</v>
      </c>
      <c r="M17">
        <v>4.8568300000000004</v>
      </c>
      <c r="N17">
        <v>5.94163</v>
      </c>
      <c r="O17">
        <v>3.1382599999999998</v>
      </c>
      <c r="P17">
        <v>4.3310000000000001E-2</v>
      </c>
      <c r="Q17">
        <v>0.16650999999999999</v>
      </c>
      <c r="R17">
        <v>0.46997</v>
      </c>
      <c r="S17">
        <v>7.5651900000000003</v>
      </c>
      <c r="T17">
        <f t="shared" si="1"/>
        <v>22.181700000000003</v>
      </c>
      <c r="W17">
        <v>2035</v>
      </c>
      <c r="X17">
        <v>12.608000000000001</v>
      </c>
      <c r="Y17">
        <v>8.1470800000000008</v>
      </c>
      <c r="Z17">
        <v>3.8352200000000001</v>
      </c>
      <c r="AA17">
        <v>0.25879000000000002</v>
      </c>
      <c r="AB17">
        <v>0.23587</v>
      </c>
      <c r="AC17">
        <v>0.46997</v>
      </c>
      <c r="AD17">
        <v>7.5651900000000003</v>
      </c>
      <c r="AE17">
        <f t="shared" si="2"/>
        <v>33.12012</v>
      </c>
    </row>
    <row r="18" spans="1:31" x14ac:dyDescent="0.25">
      <c r="A18">
        <v>2036</v>
      </c>
      <c r="B18">
        <v>12.47265</v>
      </c>
      <c r="C18">
        <v>6.4009499999999999</v>
      </c>
      <c r="D18">
        <v>3.10101</v>
      </c>
      <c r="E18">
        <v>4.7239999999999997E-2</v>
      </c>
      <c r="F18">
        <v>0.16399</v>
      </c>
      <c r="G18">
        <v>0.48037000000000002</v>
      </c>
      <c r="H18">
        <v>7.3733500000000003</v>
      </c>
      <c r="I18">
        <f t="shared" si="0"/>
        <v>30.039559999999994</v>
      </c>
      <c r="L18">
        <v>2036</v>
      </c>
      <c r="M18">
        <v>3.6758899999999999</v>
      </c>
      <c r="N18">
        <v>5.6827399999999999</v>
      </c>
      <c r="O18">
        <v>3.10101</v>
      </c>
      <c r="P18">
        <v>3.4979999999999997E-2</v>
      </c>
      <c r="Q18">
        <v>0.16399</v>
      </c>
      <c r="R18">
        <v>0.48037000000000002</v>
      </c>
      <c r="S18">
        <v>7.3733500000000003</v>
      </c>
      <c r="T18">
        <f t="shared" si="1"/>
        <v>20.512329999999999</v>
      </c>
      <c r="W18">
        <v>2036</v>
      </c>
      <c r="X18">
        <v>12.47265</v>
      </c>
      <c r="Y18">
        <v>7.9451499999999999</v>
      </c>
      <c r="Z18">
        <v>3.8151000000000002</v>
      </c>
      <c r="AA18">
        <v>0.27195999999999998</v>
      </c>
      <c r="AB18">
        <v>0.22277</v>
      </c>
      <c r="AC18">
        <v>0.48037000000000002</v>
      </c>
      <c r="AD18">
        <v>7.3733500000000003</v>
      </c>
      <c r="AE18">
        <f t="shared" si="2"/>
        <v>32.58135</v>
      </c>
    </row>
    <row r="19" spans="1:31" x14ac:dyDescent="0.25">
      <c r="A19">
        <v>2037</v>
      </c>
      <c r="B19">
        <v>12.441700000000001</v>
      </c>
      <c r="C19">
        <v>6.2217799999999999</v>
      </c>
      <c r="D19">
        <v>3.0467900000000001</v>
      </c>
      <c r="E19">
        <v>3.2079999999999997E-2</v>
      </c>
      <c r="F19">
        <v>0.15914</v>
      </c>
      <c r="G19">
        <v>0.48465999999999998</v>
      </c>
      <c r="H19">
        <v>7.1730400000000003</v>
      </c>
      <c r="I19">
        <f t="shared" si="0"/>
        <v>29.559190000000005</v>
      </c>
      <c r="L19">
        <v>2037</v>
      </c>
      <c r="M19">
        <v>2.4661200000000001</v>
      </c>
      <c r="N19">
        <v>5.7363999999999997</v>
      </c>
      <c r="O19">
        <v>3.0467900000000001</v>
      </c>
      <c r="P19">
        <v>2.7560000000000001E-2</v>
      </c>
      <c r="Q19">
        <v>0.15914</v>
      </c>
      <c r="R19">
        <v>0.48465999999999998</v>
      </c>
      <c r="S19">
        <v>7.1730400000000003</v>
      </c>
      <c r="T19">
        <f t="shared" si="1"/>
        <v>19.093710000000002</v>
      </c>
      <c r="W19">
        <v>2037</v>
      </c>
      <c r="X19">
        <v>12.441700000000001</v>
      </c>
      <c r="Y19">
        <v>8.1107700000000005</v>
      </c>
      <c r="Z19">
        <v>3.8163999999999998</v>
      </c>
      <c r="AA19">
        <v>0.28520000000000001</v>
      </c>
      <c r="AB19">
        <v>0.22850999999999999</v>
      </c>
      <c r="AC19">
        <v>0.48465999999999998</v>
      </c>
      <c r="AD19">
        <v>7.1730400000000003</v>
      </c>
      <c r="AE19">
        <f t="shared" si="2"/>
        <v>32.540280000000003</v>
      </c>
    </row>
    <row r="20" spans="1:31" x14ac:dyDescent="0.25">
      <c r="A20">
        <v>2038</v>
      </c>
      <c r="B20">
        <v>12.394769999999999</v>
      </c>
      <c r="C20">
        <v>5.98909</v>
      </c>
      <c r="D20">
        <v>3.0024099999999998</v>
      </c>
      <c r="E20">
        <v>1.881E-2</v>
      </c>
      <c r="F20">
        <v>0.15640999999999999</v>
      </c>
      <c r="G20">
        <v>0.48474</v>
      </c>
      <c r="H20">
        <v>6.9847299999999999</v>
      </c>
      <c r="I20">
        <f t="shared" si="0"/>
        <v>29.030959999999997</v>
      </c>
      <c r="L20">
        <v>2038</v>
      </c>
      <c r="M20">
        <v>1.5659400000000001</v>
      </c>
      <c r="N20">
        <v>5.8298699999999997</v>
      </c>
      <c r="O20">
        <v>3.0024099999999998</v>
      </c>
      <c r="P20">
        <v>2.2339999999999999E-2</v>
      </c>
      <c r="Q20">
        <v>0.15640999999999999</v>
      </c>
      <c r="R20">
        <v>0.48474</v>
      </c>
      <c r="S20">
        <v>6.9847299999999999</v>
      </c>
      <c r="T20">
        <f t="shared" si="1"/>
        <v>18.04644</v>
      </c>
      <c r="W20">
        <v>2038</v>
      </c>
      <c r="X20">
        <v>12.394769999999999</v>
      </c>
      <c r="Y20">
        <v>7.9255800000000001</v>
      </c>
      <c r="Z20">
        <v>3.8059400000000001</v>
      </c>
      <c r="AA20">
        <v>0.30195</v>
      </c>
      <c r="AB20">
        <v>0.23016</v>
      </c>
      <c r="AC20">
        <v>0.48474</v>
      </c>
      <c r="AD20">
        <v>6.9847299999999999</v>
      </c>
      <c r="AE20">
        <f t="shared" si="2"/>
        <v>32.127870000000001</v>
      </c>
    </row>
    <row r="21" spans="1:31" x14ac:dyDescent="0.25">
      <c r="A21">
        <v>2039</v>
      </c>
      <c r="B21">
        <v>12.30236</v>
      </c>
      <c r="C21">
        <v>5.8004600000000002</v>
      </c>
      <c r="D21">
        <v>2.9555600000000002</v>
      </c>
      <c r="E21">
        <v>7.7799999999999996E-3</v>
      </c>
      <c r="F21">
        <v>0.15239</v>
      </c>
      <c r="G21">
        <v>0.49112</v>
      </c>
      <c r="H21">
        <v>6.8012199999999998</v>
      </c>
      <c r="I21">
        <f t="shared" si="0"/>
        <v>28.51089</v>
      </c>
      <c r="L21">
        <v>2039</v>
      </c>
      <c r="M21">
        <v>1.5659400000000001</v>
      </c>
      <c r="N21">
        <v>5.8004600000000002</v>
      </c>
      <c r="O21">
        <v>2.9555600000000002</v>
      </c>
      <c r="P21">
        <v>1.814E-2</v>
      </c>
      <c r="Q21">
        <v>0.15239</v>
      </c>
      <c r="R21">
        <v>0.49112</v>
      </c>
      <c r="S21">
        <v>6.8012199999999998</v>
      </c>
      <c r="T21">
        <f t="shared" si="1"/>
        <v>17.784830000000003</v>
      </c>
      <c r="W21">
        <v>2039</v>
      </c>
      <c r="X21">
        <v>12.30236</v>
      </c>
      <c r="Y21">
        <v>7.9426800000000002</v>
      </c>
      <c r="Z21">
        <v>3.8020499999999999</v>
      </c>
      <c r="AA21">
        <v>0.32283000000000001</v>
      </c>
      <c r="AB21">
        <v>0.22322</v>
      </c>
      <c r="AC21">
        <v>0.49112</v>
      </c>
      <c r="AD21">
        <v>6.8012199999999998</v>
      </c>
      <c r="AE21">
        <f t="shared" si="2"/>
        <v>31.885480000000001</v>
      </c>
    </row>
    <row r="22" spans="1:31" x14ac:dyDescent="0.25">
      <c r="A22">
        <v>2040</v>
      </c>
      <c r="B22">
        <v>12.229649999999999</v>
      </c>
      <c r="C22">
        <v>5.5775600000000001</v>
      </c>
      <c r="D22">
        <v>2.90917</v>
      </c>
      <c r="E22">
        <v>7.7799999999999996E-3</v>
      </c>
      <c r="F22">
        <v>0.14917</v>
      </c>
      <c r="G22">
        <v>0.49857000000000001</v>
      </c>
      <c r="H22">
        <v>6.62059</v>
      </c>
      <c r="I22">
        <f t="shared" si="0"/>
        <v>27.99249</v>
      </c>
      <c r="L22">
        <v>2040</v>
      </c>
      <c r="M22">
        <v>1.5659400000000001</v>
      </c>
      <c r="N22">
        <v>5.5775600000000001</v>
      </c>
      <c r="O22">
        <v>2.90917</v>
      </c>
      <c r="P22">
        <v>1.5440000000000001E-2</v>
      </c>
      <c r="Q22">
        <v>0.14917</v>
      </c>
      <c r="R22">
        <v>0.49857000000000001</v>
      </c>
      <c r="S22">
        <v>6.62059</v>
      </c>
      <c r="T22">
        <f t="shared" si="1"/>
        <v>17.336440000000003</v>
      </c>
      <c r="W22">
        <v>2040</v>
      </c>
      <c r="X22">
        <v>12.229649999999999</v>
      </c>
      <c r="Y22">
        <v>7.6777699999999998</v>
      </c>
      <c r="Z22">
        <v>3.7945099999999998</v>
      </c>
      <c r="AA22">
        <v>0.34622000000000003</v>
      </c>
      <c r="AB22">
        <v>0.2266</v>
      </c>
      <c r="AC22">
        <v>0.49857000000000001</v>
      </c>
      <c r="AD22">
        <v>6.62059</v>
      </c>
      <c r="AE22">
        <f t="shared" si="2"/>
        <v>31.393909999999998</v>
      </c>
    </row>
    <row r="23" spans="1:31" x14ac:dyDescent="0.25">
      <c r="A23">
        <v>2041</v>
      </c>
      <c r="B23">
        <v>12.17451</v>
      </c>
      <c r="C23">
        <v>5.3955900000000003</v>
      </c>
      <c r="D23">
        <v>2.8653499999999998</v>
      </c>
      <c r="E23">
        <v>7.7799999999999996E-3</v>
      </c>
      <c r="F23">
        <v>0.14580000000000001</v>
      </c>
      <c r="G23">
        <v>0.50216000000000005</v>
      </c>
      <c r="H23">
        <v>6.4460600000000001</v>
      </c>
      <c r="I23">
        <f t="shared" si="0"/>
        <v>27.53725</v>
      </c>
      <c r="L23">
        <v>2041</v>
      </c>
      <c r="M23">
        <v>1.5659400000000001</v>
      </c>
      <c r="N23">
        <v>5.3955900000000003</v>
      </c>
      <c r="O23">
        <v>2.8653499999999998</v>
      </c>
      <c r="P23">
        <v>1.333E-2</v>
      </c>
      <c r="Q23">
        <v>0.14580000000000001</v>
      </c>
      <c r="R23">
        <v>0.50216000000000005</v>
      </c>
      <c r="S23">
        <v>6.4460600000000001</v>
      </c>
      <c r="T23">
        <f t="shared" si="1"/>
        <v>16.934229999999999</v>
      </c>
      <c r="W23">
        <v>2041</v>
      </c>
      <c r="X23">
        <v>12.17451</v>
      </c>
      <c r="Y23">
        <v>7.62277</v>
      </c>
      <c r="Z23">
        <v>3.7890100000000002</v>
      </c>
      <c r="AA23">
        <v>0.37003000000000003</v>
      </c>
      <c r="AB23">
        <v>0.22636999999999999</v>
      </c>
      <c r="AC23">
        <v>0.50216000000000005</v>
      </c>
      <c r="AD23">
        <v>6.4460600000000001</v>
      </c>
      <c r="AE23">
        <f t="shared" si="2"/>
        <v>31.13091</v>
      </c>
    </row>
    <row r="24" spans="1:31" x14ac:dyDescent="0.25">
      <c r="A24">
        <v>2042</v>
      </c>
      <c r="B24">
        <v>12.106170000000001</v>
      </c>
      <c r="C24">
        <v>5.1941899999999999</v>
      </c>
      <c r="D24">
        <v>2.81996</v>
      </c>
      <c r="E24">
        <v>7.7799999999999996E-3</v>
      </c>
      <c r="F24">
        <v>0.14244000000000001</v>
      </c>
      <c r="G24">
        <v>0.50697999999999999</v>
      </c>
      <c r="H24">
        <v>6.2758900000000004</v>
      </c>
      <c r="I24">
        <f t="shared" si="0"/>
        <v>27.05341</v>
      </c>
      <c r="L24">
        <v>2042</v>
      </c>
      <c r="M24">
        <v>1.5659400000000001</v>
      </c>
      <c r="N24">
        <v>5.1941899999999999</v>
      </c>
      <c r="O24">
        <v>2.81996</v>
      </c>
      <c r="P24">
        <v>1.1979999999999999E-2</v>
      </c>
      <c r="Q24">
        <v>0.14244000000000001</v>
      </c>
      <c r="R24">
        <v>0.50697999999999999</v>
      </c>
      <c r="S24">
        <v>6.2758900000000004</v>
      </c>
      <c r="T24">
        <f t="shared" si="1"/>
        <v>16.517380000000003</v>
      </c>
      <c r="W24">
        <v>2042</v>
      </c>
      <c r="X24">
        <v>12.106170000000001</v>
      </c>
      <c r="Y24">
        <v>7.4053899999999997</v>
      </c>
      <c r="Z24">
        <v>3.7824</v>
      </c>
      <c r="AA24">
        <v>0.39323999999999998</v>
      </c>
      <c r="AB24">
        <v>0.22264999999999999</v>
      </c>
      <c r="AC24">
        <v>0.50697999999999999</v>
      </c>
      <c r="AD24">
        <v>6.2758900000000004</v>
      </c>
      <c r="AE24">
        <f t="shared" si="2"/>
        <v>30.692719999999998</v>
      </c>
    </row>
    <row r="25" spans="1:31" x14ac:dyDescent="0.25">
      <c r="A25">
        <v>2043</v>
      </c>
      <c r="B25">
        <v>12.033340000000001</v>
      </c>
      <c r="C25">
        <v>5.0259499999999999</v>
      </c>
      <c r="D25">
        <v>2.7772700000000001</v>
      </c>
      <c r="E25">
        <v>7.7799999999999996E-3</v>
      </c>
      <c r="F25">
        <v>0.13933999999999999</v>
      </c>
      <c r="G25">
        <v>0.51429000000000002</v>
      </c>
      <c r="H25">
        <v>6.1099600000000001</v>
      </c>
      <c r="I25">
        <f t="shared" si="0"/>
        <v>26.607930000000003</v>
      </c>
      <c r="L25">
        <v>2043</v>
      </c>
      <c r="M25">
        <v>1.5659400000000001</v>
      </c>
      <c r="N25">
        <v>5.0259499999999999</v>
      </c>
      <c r="O25">
        <v>2.7772700000000001</v>
      </c>
      <c r="P25">
        <v>1.0789999999999999E-2</v>
      </c>
      <c r="Q25">
        <v>0.13933999999999999</v>
      </c>
      <c r="R25">
        <v>0.51429000000000002</v>
      </c>
      <c r="S25">
        <v>6.1099600000000001</v>
      </c>
      <c r="T25">
        <f t="shared" si="1"/>
        <v>16.143540000000002</v>
      </c>
      <c r="W25">
        <v>2043</v>
      </c>
      <c r="X25">
        <v>12.033340000000001</v>
      </c>
      <c r="Y25">
        <v>7.3862399999999999</v>
      </c>
      <c r="Z25">
        <v>3.7764199999999999</v>
      </c>
      <c r="AA25">
        <v>0.41626999999999997</v>
      </c>
      <c r="AB25">
        <v>0.22439999999999999</v>
      </c>
      <c r="AC25">
        <v>0.51429000000000002</v>
      </c>
      <c r="AD25">
        <v>6.1099600000000001</v>
      </c>
      <c r="AE25">
        <f t="shared" si="2"/>
        <v>30.460919999999998</v>
      </c>
    </row>
    <row r="26" spans="1:31" x14ac:dyDescent="0.25">
      <c r="A26">
        <v>2044</v>
      </c>
      <c r="B26">
        <v>11.96861</v>
      </c>
      <c r="C26">
        <v>4.8434900000000001</v>
      </c>
      <c r="D26">
        <v>2.7337500000000001</v>
      </c>
      <c r="E26">
        <v>7.7799999999999996E-3</v>
      </c>
      <c r="F26">
        <v>0.13611000000000001</v>
      </c>
      <c r="G26">
        <v>0.52027999999999996</v>
      </c>
      <c r="H26">
        <v>5.9486600000000003</v>
      </c>
      <c r="I26">
        <f t="shared" si="0"/>
        <v>26.15868</v>
      </c>
      <c r="L26">
        <v>2044</v>
      </c>
      <c r="M26">
        <v>1.5659400000000001</v>
      </c>
      <c r="N26">
        <v>4.8434900000000001</v>
      </c>
      <c r="O26">
        <v>2.7337500000000001</v>
      </c>
      <c r="P26">
        <v>9.8700000000000003E-3</v>
      </c>
      <c r="Q26">
        <v>0.13611000000000001</v>
      </c>
      <c r="R26">
        <v>0.52027999999999996</v>
      </c>
      <c r="S26">
        <v>5.9486600000000003</v>
      </c>
      <c r="T26">
        <f t="shared" si="1"/>
        <v>15.758100000000001</v>
      </c>
      <c r="W26">
        <v>2044</v>
      </c>
      <c r="X26">
        <v>11.96861</v>
      </c>
      <c r="Y26">
        <v>7.2367499999999998</v>
      </c>
      <c r="Z26">
        <v>3.7700999999999998</v>
      </c>
      <c r="AA26">
        <v>0.44029000000000001</v>
      </c>
      <c r="AB26">
        <v>0.22353999999999999</v>
      </c>
      <c r="AC26">
        <v>0.52027999999999996</v>
      </c>
      <c r="AD26">
        <v>5.9486600000000003</v>
      </c>
      <c r="AE26">
        <f t="shared" si="2"/>
        <v>30.108229999999999</v>
      </c>
    </row>
    <row r="27" spans="1:31" x14ac:dyDescent="0.25">
      <c r="A27">
        <v>2045</v>
      </c>
      <c r="B27">
        <v>11.90466</v>
      </c>
      <c r="C27">
        <v>4.6852</v>
      </c>
      <c r="D27">
        <v>2.6918500000000001</v>
      </c>
      <c r="E27">
        <v>7.7799999999999996E-3</v>
      </c>
      <c r="F27">
        <v>0.13311999999999999</v>
      </c>
      <c r="G27">
        <v>0.52551000000000003</v>
      </c>
      <c r="H27">
        <v>5.7915400000000004</v>
      </c>
      <c r="I27">
        <f t="shared" si="0"/>
        <v>25.739660000000004</v>
      </c>
      <c r="L27">
        <v>2045</v>
      </c>
      <c r="M27">
        <v>1.5659400000000001</v>
      </c>
      <c r="N27">
        <v>4.6852</v>
      </c>
      <c r="O27">
        <v>2.6918500000000001</v>
      </c>
      <c r="P27">
        <v>8.9099999999999995E-3</v>
      </c>
      <c r="Q27">
        <v>0.13311999999999999</v>
      </c>
      <c r="R27">
        <v>0.52551000000000003</v>
      </c>
      <c r="S27">
        <v>5.7915400000000004</v>
      </c>
      <c r="T27">
        <f t="shared" si="1"/>
        <v>15.402070000000002</v>
      </c>
      <c r="W27">
        <v>2045</v>
      </c>
      <c r="X27">
        <v>11.90466</v>
      </c>
      <c r="Y27">
        <v>7.21929</v>
      </c>
      <c r="Z27">
        <v>3.7639900000000002</v>
      </c>
      <c r="AA27">
        <v>0.46636</v>
      </c>
      <c r="AB27">
        <v>0.22145999999999999</v>
      </c>
      <c r="AC27">
        <v>0.52551000000000003</v>
      </c>
      <c r="AD27">
        <v>5.7915400000000004</v>
      </c>
      <c r="AE27">
        <f t="shared" si="2"/>
        <v>29.892810000000004</v>
      </c>
    </row>
    <row r="28" spans="1:31" x14ac:dyDescent="0.25">
      <c r="A28">
        <v>2046</v>
      </c>
      <c r="B28">
        <v>11.837260000000001</v>
      </c>
      <c r="C28">
        <v>4.5162500000000003</v>
      </c>
      <c r="D28">
        <v>2.6501000000000001</v>
      </c>
      <c r="E28">
        <v>7.7799999999999996E-3</v>
      </c>
      <c r="F28">
        <v>0.13009000000000001</v>
      </c>
      <c r="G28">
        <v>0.53217999999999999</v>
      </c>
      <c r="H28">
        <v>5.6385399999999999</v>
      </c>
      <c r="I28">
        <f t="shared" si="0"/>
        <v>25.312200000000001</v>
      </c>
      <c r="L28">
        <v>2046</v>
      </c>
      <c r="M28">
        <v>1.5659400000000001</v>
      </c>
      <c r="N28">
        <v>4.5162500000000003</v>
      </c>
      <c r="O28">
        <v>2.6501000000000001</v>
      </c>
      <c r="P28">
        <v>8.0300000000000007E-3</v>
      </c>
      <c r="Q28">
        <v>0.13009000000000001</v>
      </c>
      <c r="R28">
        <v>0.53217999999999999</v>
      </c>
      <c r="S28">
        <v>5.6385399999999999</v>
      </c>
      <c r="T28">
        <f t="shared" si="1"/>
        <v>15.041129999999999</v>
      </c>
      <c r="W28">
        <v>2046</v>
      </c>
      <c r="X28">
        <v>11.837260000000001</v>
      </c>
      <c r="Y28">
        <v>7.0744400000000001</v>
      </c>
      <c r="Z28">
        <v>3.7577799999999999</v>
      </c>
      <c r="AA28">
        <v>0.49482999999999999</v>
      </c>
      <c r="AB28">
        <v>0.22217000000000001</v>
      </c>
      <c r="AC28">
        <v>0.53217999999999999</v>
      </c>
      <c r="AD28">
        <v>5.6385399999999999</v>
      </c>
      <c r="AE28">
        <f t="shared" si="2"/>
        <v>29.557199999999998</v>
      </c>
    </row>
    <row r="29" spans="1:31" x14ac:dyDescent="0.25">
      <c r="A29">
        <v>2047</v>
      </c>
      <c r="B29">
        <v>11.77098</v>
      </c>
      <c r="C29">
        <v>4.3660600000000001</v>
      </c>
      <c r="D29">
        <v>2.6091799999999998</v>
      </c>
      <c r="E29">
        <v>7.7799999999999996E-3</v>
      </c>
      <c r="F29">
        <v>0.12717000000000001</v>
      </c>
      <c r="G29">
        <v>0.53910999999999998</v>
      </c>
      <c r="H29">
        <v>5.48963</v>
      </c>
      <c r="I29">
        <f t="shared" si="0"/>
        <v>24.909909999999996</v>
      </c>
      <c r="L29">
        <v>2047</v>
      </c>
      <c r="M29">
        <v>1.5659400000000001</v>
      </c>
      <c r="N29">
        <v>4.3660600000000001</v>
      </c>
      <c r="O29">
        <v>2.6091799999999998</v>
      </c>
      <c r="P29">
        <v>7.1000000000000004E-3</v>
      </c>
      <c r="Q29">
        <v>0.12717000000000001</v>
      </c>
      <c r="R29">
        <v>0.53910999999999998</v>
      </c>
      <c r="S29">
        <v>5.48963</v>
      </c>
      <c r="T29">
        <f t="shared" si="1"/>
        <v>14.704189999999999</v>
      </c>
      <c r="W29">
        <v>2047</v>
      </c>
      <c r="X29">
        <v>11.77098</v>
      </c>
      <c r="Y29">
        <v>7.0221099999999996</v>
      </c>
      <c r="Z29">
        <v>3.7516400000000001</v>
      </c>
      <c r="AA29">
        <v>0.52544999999999997</v>
      </c>
      <c r="AB29">
        <v>0.22119</v>
      </c>
      <c r="AC29">
        <v>0.53910999999999998</v>
      </c>
      <c r="AD29">
        <v>5.48963</v>
      </c>
      <c r="AE29">
        <f t="shared" si="2"/>
        <v>29.32011</v>
      </c>
    </row>
    <row r="30" spans="1:31" x14ac:dyDescent="0.25">
      <c r="A30">
        <v>2048</v>
      </c>
      <c r="B30">
        <v>11.706709999999999</v>
      </c>
      <c r="C30">
        <v>4.2092599999999996</v>
      </c>
      <c r="D30">
        <v>2.5688900000000001</v>
      </c>
      <c r="E30">
        <v>7.7799999999999996E-3</v>
      </c>
      <c r="F30">
        <v>0.12431</v>
      </c>
      <c r="G30">
        <v>0.54527999999999999</v>
      </c>
      <c r="H30">
        <v>5.3446300000000004</v>
      </c>
      <c r="I30">
        <f t="shared" si="0"/>
        <v>24.506860000000003</v>
      </c>
      <c r="L30">
        <v>2048</v>
      </c>
      <c r="M30">
        <v>1.5659400000000001</v>
      </c>
      <c r="N30">
        <v>4.2092599999999996</v>
      </c>
      <c r="O30">
        <v>2.5688900000000001</v>
      </c>
      <c r="P30">
        <v>6.2199999999999998E-3</v>
      </c>
      <c r="Q30">
        <v>0.12431</v>
      </c>
      <c r="R30">
        <v>0.54527999999999999</v>
      </c>
      <c r="S30">
        <v>5.3446300000000004</v>
      </c>
      <c r="T30">
        <f t="shared" si="1"/>
        <v>14.36453</v>
      </c>
      <c r="W30">
        <v>2048</v>
      </c>
      <c r="X30">
        <v>11.706709999999999</v>
      </c>
      <c r="Y30">
        <v>6.8731200000000001</v>
      </c>
      <c r="Z30">
        <v>3.7454800000000001</v>
      </c>
      <c r="AA30">
        <v>0.55776000000000003</v>
      </c>
      <c r="AB30">
        <v>0.21990999999999999</v>
      </c>
      <c r="AC30">
        <v>0.54527999999999999</v>
      </c>
      <c r="AD30">
        <v>5.3446300000000004</v>
      </c>
      <c r="AE30">
        <f t="shared" si="2"/>
        <v>28.992890000000003</v>
      </c>
    </row>
    <row r="31" spans="1:31" x14ac:dyDescent="0.25">
      <c r="A31">
        <v>2049</v>
      </c>
      <c r="B31">
        <v>11.64203</v>
      </c>
      <c r="C31">
        <v>4.06792</v>
      </c>
      <c r="D31">
        <v>2.5291399999999999</v>
      </c>
      <c r="E31">
        <v>7.7799999999999996E-3</v>
      </c>
      <c r="F31">
        <v>0.12151000000000001</v>
      </c>
      <c r="G31">
        <v>0.55181999999999998</v>
      </c>
      <c r="H31">
        <v>5.2034599999999998</v>
      </c>
      <c r="I31">
        <f t="shared" si="0"/>
        <v>24.123659999999997</v>
      </c>
      <c r="L31">
        <v>2049</v>
      </c>
      <c r="M31">
        <v>1.5659400000000001</v>
      </c>
      <c r="N31">
        <v>4.06792</v>
      </c>
      <c r="O31">
        <v>2.5291399999999999</v>
      </c>
      <c r="P31">
        <v>5.3600000000000002E-3</v>
      </c>
      <c r="Q31">
        <v>0.12151000000000001</v>
      </c>
      <c r="R31">
        <v>0.55181999999999998</v>
      </c>
      <c r="S31">
        <v>5.2034599999999998</v>
      </c>
      <c r="T31">
        <f t="shared" si="1"/>
        <v>14.04515</v>
      </c>
      <c r="W31">
        <v>2049</v>
      </c>
      <c r="X31">
        <v>11.64203</v>
      </c>
      <c r="Y31">
        <v>6.8086399999999996</v>
      </c>
      <c r="Z31">
        <v>3.7393399999999999</v>
      </c>
      <c r="AA31">
        <v>0.59150999999999998</v>
      </c>
      <c r="AB31">
        <v>0.22</v>
      </c>
      <c r="AC31">
        <v>0.55181999999999998</v>
      </c>
      <c r="AD31">
        <v>5.2034599999999998</v>
      </c>
      <c r="AE31">
        <f t="shared" si="2"/>
        <v>28.756799999999995</v>
      </c>
    </row>
    <row r="32" spans="1:31" x14ac:dyDescent="0.25">
      <c r="A32">
        <v>2050</v>
      </c>
      <c r="B32">
        <v>11.5771</v>
      </c>
      <c r="C32">
        <v>3.923</v>
      </c>
      <c r="D32">
        <v>2.49011</v>
      </c>
      <c r="E32">
        <v>7.7799999999999996E-3</v>
      </c>
      <c r="F32">
        <v>0.11878</v>
      </c>
      <c r="G32">
        <v>0.55894999999999995</v>
      </c>
      <c r="H32">
        <v>5.06602</v>
      </c>
      <c r="I32">
        <f t="shared" si="0"/>
        <v>23.74174</v>
      </c>
      <c r="L32">
        <v>2050</v>
      </c>
      <c r="M32">
        <v>1.5659400000000001</v>
      </c>
      <c r="N32">
        <v>3.923</v>
      </c>
      <c r="O32">
        <v>2.49011</v>
      </c>
      <c r="P32">
        <v>4.5900000000000003E-3</v>
      </c>
      <c r="Q32">
        <v>0.11878</v>
      </c>
      <c r="R32">
        <v>0.55894999999999995</v>
      </c>
      <c r="S32">
        <v>5.06602</v>
      </c>
      <c r="T32">
        <f t="shared" si="1"/>
        <v>13.72739</v>
      </c>
      <c r="W32">
        <v>2050</v>
      </c>
      <c r="X32">
        <v>11.5771</v>
      </c>
      <c r="Y32">
        <v>6.6786099999999999</v>
      </c>
      <c r="Z32">
        <v>3.7332100000000001</v>
      </c>
      <c r="AA32">
        <v>0.62685000000000002</v>
      </c>
      <c r="AB32">
        <v>0.21906999999999999</v>
      </c>
      <c r="AC32">
        <v>0.55894999999999995</v>
      </c>
      <c r="AD32">
        <v>5.06602</v>
      </c>
      <c r="AE32">
        <f t="shared" si="2"/>
        <v>28.459809999999997</v>
      </c>
    </row>
    <row r="34" spans="8:9" x14ac:dyDescent="0.25">
      <c r="H34" t="s">
        <v>12</v>
      </c>
    </row>
    <row r="35" spans="8:9" x14ac:dyDescent="0.25">
      <c r="H35">
        <v>2030</v>
      </c>
      <c r="I35">
        <f>I12/I3</f>
        <v>1.1628052045266697</v>
      </c>
    </row>
    <row r="36" spans="8:9" x14ac:dyDescent="0.25">
      <c r="H36">
        <v>2040</v>
      </c>
      <c r="I36">
        <f>I22/I3</f>
        <v>0.97008696737034161</v>
      </c>
    </row>
    <row r="37" spans="8:9" x14ac:dyDescent="0.25">
      <c r="H37">
        <v>2050</v>
      </c>
      <c r="I37">
        <f>I32/I3</f>
        <v>0.82277612876507722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CC79-CFF7-4EBB-A424-28811A22C405}">
  <dimension ref="A1:AC55"/>
  <sheetViews>
    <sheetView tabSelected="1" topLeftCell="E27" workbookViewId="0">
      <selection activeCell="AC55" sqref="AC55"/>
    </sheetView>
  </sheetViews>
  <sheetFormatPr defaultRowHeight="15" x14ac:dyDescent="0.25"/>
  <cols>
    <col min="4" max="4" width="12" bestFit="1" customWidth="1"/>
    <col min="19" max="19" width="12" bestFit="1" customWidth="1"/>
  </cols>
  <sheetData>
    <row r="1" spans="1:28" x14ac:dyDescent="0.25">
      <c r="A1" s="2">
        <v>2030</v>
      </c>
      <c r="K1" s="2">
        <v>2040</v>
      </c>
      <c r="U1" s="2">
        <v>2050</v>
      </c>
    </row>
    <row r="2" spans="1:28" x14ac:dyDescent="0.25">
      <c r="A2" t="s">
        <v>13</v>
      </c>
      <c r="B2" t="s">
        <v>14</v>
      </c>
      <c r="C2" t="s">
        <v>15</v>
      </c>
      <c r="D2" t="s">
        <v>16</v>
      </c>
      <c r="E2" t="s">
        <v>13</v>
      </c>
      <c r="F2" t="s">
        <v>14</v>
      </c>
      <c r="G2" t="s">
        <v>15</v>
      </c>
      <c r="H2" t="s">
        <v>16</v>
      </c>
      <c r="K2" t="s">
        <v>13</v>
      </c>
      <c r="L2" t="s">
        <v>14</v>
      </c>
      <c r="M2" t="s">
        <v>15</v>
      </c>
      <c r="N2" t="s">
        <v>16</v>
      </c>
      <c r="O2" t="s">
        <v>13</v>
      </c>
      <c r="P2" t="s">
        <v>14</v>
      </c>
      <c r="Q2" t="s">
        <v>15</v>
      </c>
      <c r="R2" t="s">
        <v>16</v>
      </c>
      <c r="U2" t="s">
        <v>13</v>
      </c>
      <c r="V2" t="s">
        <v>14</v>
      </c>
      <c r="W2" t="s">
        <v>15</v>
      </c>
      <c r="X2" t="s">
        <v>16</v>
      </c>
      <c r="Y2" t="s">
        <v>13</v>
      </c>
      <c r="Z2" t="s">
        <v>14</v>
      </c>
      <c r="AA2" t="s">
        <v>15</v>
      </c>
      <c r="AB2" t="s">
        <v>16</v>
      </c>
    </row>
    <row r="3" spans="1:28" x14ac:dyDescent="0.25">
      <c r="A3" t="s">
        <v>17</v>
      </c>
      <c r="B3" t="s">
        <v>18</v>
      </c>
      <c r="C3" t="s">
        <v>18</v>
      </c>
      <c r="E3" t="s">
        <v>17</v>
      </c>
      <c r="K3" t="s">
        <v>17</v>
      </c>
      <c r="L3" t="s">
        <v>18</v>
      </c>
      <c r="M3" t="s">
        <v>18</v>
      </c>
      <c r="O3" t="s">
        <v>17</v>
      </c>
      <c r="U3" t="s">
        <v>17</v>
      </c>
      <c r="V3" t="s">
        <v>18</v>
      </c>
      <c r="W3" t="s">
        <v>18</v>
      </c>
      <c r="Y3" t="s">
        <v>17</v>
      </c>
    </row>
    <row r="4" spans="1:28" x14ac:dyDescent="0.25">
      <c r="A4">
        <v>0.8</v>
      </c>
      <c r="B4">
        <v>3948.1024900000002</v>
      </c>
      <c r="C4">
        <v>962.70788000000005</v>
      </c>
      <c r="D4">
        <v>0.80396000000000001</v>
      </c>
      <c r="E4">
        <v>1.2</v>
      </c>
      <c r="F4">
        <v>4596.7389000000003</v>
      </c>
      <c r="G4">
        <v>314.07148000000001</v>
      </c>
      <c r="H4">
        <v>0.93603999999999998</v>
      </c>
      <c r="K4">
        <v>0.8</v>
      </c>
      <c r="L4">
        <v>4938.0317299999997</v>
      </c>
      <c r="M4">
        <v>14705.209769999999</v>
      </c>
      <c r="N4">
        <v>0.25139</v>
      </c>
      <c r="O4">
        <v>1.2</v>
      </c>
      <c r="P4">
        <v>12369.62415</v>
      </c>
      <c r="Q4">
        <v>7273.6173500000004</v>
      </c>
      <c r="R4">
        <v>0.62970999999999999</v>
      </c>
      <c r="U4">
        <v>0.8</v>
      </c>
      <c r="V4">
        <v>6138.5179399999997</v>
      </c>
      <c r="W4">
        <v>30201.47884</v>
      </c>
      <c r="X4">
        <v>0.16891999999999999</v>
      </c>
      <c r="Y4">
        <v>1.2</v>
      </c>
      <c r="Z4">
        <v>13536.18471</v>
      </c>
      <c r="AA4">
        <v>22803.81206</v>
      </c>
      <c r="AB4">
        <v>0.37248999999999999</v>
      </c>
    </row>
    <row r="5" spans="1:28" x14ac:dyDescent="0.25">
      <c r="A5">
        <v>1.8</v>
      </c>
      <c r="B5">
        <v>3886.91158</v>
      </c>
      <c r="C5">
        <v>803.16139999999996</v>
      </c>
      <c r="D5">
        <v>0.82874999999999999</v>
      </c>
      <c r="E5">
        <v>2.2000000000000002</v>
      </c>
      <c r="F5">
        <v>4346.3233300000002</v>
      </c>
      <c r="G5">
        <v>343.74964999999997</v>
      </c>
      <c r="H5">
        <v>0.92671000000000003</v>
      </c>
      <c r="K5">
        <v>1.8</v>
      </c>
      <c r="L5">
        <v>4859.3556500000004</v>
      </c>
      <c r="M5">
        <v>13900.93629</v>
      </c>
      <c r="N5">
        <v>0.25901999999999997</v>
      </c>
      <c r="O5">
        <v>2.2000000000000002</v>
      </c>
      <c r="P5">
        <v>12123.179980000001</v>
      </c>
      <c r="Q5">
        <v>6637.1119600000002</v>
      </c>
      <c r="R5">
        <v>0.64620999999999995</v>
      </c>
      <c r="U5">
        <v>1.8</v>
      </c>
      <c r="V5">
        <v>6040.7052299999996</v>
      </c>
      <c r="W5">
        <v>28665.834869999999</v>
      </c>
      <c r="X5">
        <v>0.17405000000000001</v>
      </c>
      <c r="Y5">
        <v>2.2000000000000002</v>
      </c>
      <c r="Z5">
        <v>13295.31789</v>
      </c>
      <c r="AA5">
        <v>21411.2222</v>
      </c>
      <c r="AB5">
        <v>0.38307999999999998</v>
      </c>
    </row>
    <row r="6" spans="1:28" x14ac:dyDescent="0.25">
      <c r="A6">
        <v>2.8</v>
      </c>
      <c r="B6">
        <v>3824.2888699999999</v>
      </c>
      <c r="C6">
        <v>940.70069000000001</v>
      </c>
      <c r="D6">
        <v>0.80257999999999996</v>
      </c>
      <c r="E6">
        <v>3.2</v>
      </c>
      <c r="F6">
        <v>4417.5201800000004</v>
      </c>
      <c r="G6">
        <v>347.46938999999998</v>
      </c>
      <c r="H6">
        <v>0.92708000000000002</v>
      </c>
      <c r="K6">
        <v>2.8</v>
      </c>
      <c r="L6">
        <v>4771.3418099999999</v>
      </c>
      <c r="M6">
        <v>14288.61644</v>
      </c>
      <c r="N6">
        <v>0.25033</v>
      </c>
      <c r="O6">
        <v>3.2</v>
      </c>
      <c r="P6">
        <v>11944.04975</v>
      </c>
      <c r="Q6">
        <v>7115.9084999999995</v>
      </c>
      <c r="R6">
        <v>0.62665999999999999</v>
      </c>
      <c r="U6">
        <v>2.8</v>
      </c>
      <c r="V6">
        <v>5931.2945</v>
      </c>
      <c r="W6">
        <v>29329.628260000001</v>
      </c>
      <c r="X6">
        <v>0.16821</v>
      </c>
      <c r="Y6">
        <v>3.2</v>
      </c>
      <c r="Z6">
        <v>13103.979880000001</v>
      </c>
      <c r="AA6">
        <v>22156.942869999999</v>
      </c>
      <c r="AB6">
        <v>0.37163000000000002</v>
      </c>
    </row>
    <row r="7" spans="1:28" x14ac:dyDescent="0.25">
      <c r="A7">
        <v>3.8</v>
      </c>
      <c r="B7">
        <v>3802.3444100000002</v>
      </c>
      <c r="C7">
        <v>924.94075999999995</v>
      </c>
      <c r="D7">
        <v>0.80434000000000005</v>
      </c>
      <c r="E7">
        <v>4.2</v>
      </c>
      <c r="F7">
        <v>4372.1851500000002</v>
      </c>
      <c r="G7">
        <v>355.10001999999997</v>
      </c>
      <c r="H7">
        <v>0.92488000000000004</v>
      </c>
      <c r="K7">
        <v>3.8</v>
      </c>
      <c r="L7">
        <v>4741.5906599999998</v>
      </c>
      <c r="M7">
        <v>14167.55003</v>
      </c>
      <c r="N7">
        <v>0.25075999999999998</v>
      </c>
      <c r="O7">
        <v>4.2</v>
      </c>
      <c r="P7">
        <v>11873.76505</v>
      </c>
      <c r="Q7">
        <v>7035.3756299999995</v>
      </c>
      <c r="R7">
        <v>0.62794000000000005</v>
      </c>
      <c r="U7">
        <v>3.8</v>
      </c>
      <c r="V7">
        <v>5894.31059</v>
      </c>
      <c r="W7">
        <v>29087.59967</v>
      </c>
      <c r="X7">
        <v>0.16850000000000001</v>
      </c>
      <c r="Y7">
        <v>4.2</v>
      </c>
      <c r="Z7">
        <v>13026.512500000001</v>
      </c>
      <c r="AA7">
        <v>21955.39776</v>
      </c>
      <c r="AB7">
        <v>0.37237999999999999</v>
      </c>
    </row>
    <row r="8" spans="1:28" x14ac:dyDescent="0.25">
      <c r="A8">
        <v>4.8</v>
      </c>
      <c r="B8">
        <v>3755.12291</v>
      </c>
      <c r="C8">
        <v>829.47879</v>
      </c>
      <c r="D8">
        <v>0.81906999999999996</v>
      </c>
      <c r="E8">
        <v>5.2</v>
      </c>
      <c r="F8">
        <v>4214.57161</v>
      </c>
      <c r="G8">
        <v>370.03008999999997</v>
      </c>
      <c r="H8">
        <v>0.91929000000000005</v>
      </c>
      <c r="K8">
        <v>4.8</v>
      </c>
      <c r="L8">
        <v>4677.1298100000004</v>
      </c>
      <c r="M8">
        <v>13661.27699</v>
      </c>
      <c r="N8">
        <v>0.25505</v>
      </c>
      <c r="O8">
        <v>5.2</v>
      </c>
      <c r="P8">
        <v>11816.470960000001</v>
      </c>
      <c r="Q8">
        <v>6521.9358400000001</v>
      </c>
      <c r="R8">
        <v>0.64436000000000004</v>
      </c>
      <c r="U8">
        <v>4.8</v>
      </c>
      <c r="V8">
        <v>5814.1787800000002</v>
      </c>
      <c r="W8">
        <v>28111.873800000001</v>
      </c>
      <c r="X8">
        <v>0.17138</v>
      </c>
      <c r="Y8">
        <v>5.2</v>
      </c>
      <c r="Z8">
        <v>12953.101189999999</v>
      </c>
      <c r="AA8">
        <v>20972.951389999998</v>
      </c>
      <c r="AB8">
        <v>0.38179999999999997</v>
      </c>
    </row>
    <row r="9" spans="1:28" x14ac:dyDescent="0.25">
      <c r="A9">
        <v>5.8</v>
      </c>
      <c r="B9">
        <v>3743.6955800000001</v>
      </c>
      <c r="C9">
        <v>668.90940000000001</v>
      </c>
      <c r="D9">
        <v>0.84841</v>
      </c>
      <c r="E9">
        <v>6.2</v>
      </c>
      <c r="F9">
        <v>4032.0371399999999</v>
      </c>
      <c r="G9">
        <v>380.56785000000002</v>
      </c>
      <c r="H9">
        <v>0.91374999999999995</v>
      </c>
      <c r="K9">
        <v>5.8</v>
      </c>
      <c r="L9">
        <v>4663.4938700000002</v>
      </c>
      <c r="M9">
        <v>12986.926079999999</v>
      </c>
      <c r="N9">
        <v>0.26421</v>
      </c>
      <c r="O9">
        <v>6.2</v>
      </c>
      <c r="P9">
        <v>11869.964260000001</v>
      </c>
      <c r="Q9">
        <v>5780.45568</v>
      </c>
      <c r="R9">
        <v>0.67249999999999999</v>
      </c>
      <c r="U9">
        <v>5.8</v>
      </c>
      <c r="V9">
        <v>5797.2278200000001</v>
      </c>
      <c r="W9">
        <v>26856.049080000001</v>
      </c>
      <c r="X9">
        <v>0.17754</v>
      </c>
      <c r="Y9">
        <v>6.2</v>
      </c>
      <c r="Z9">
        <v>13003.826940000001</v>
      </c>
      <c r="AA9">
        <v>19649.449970000001</v>
      </c>
      <c r="AB9">
        <v>0.39823999999999998</v>
      </c>
    </row>
    <row r="10" spans="1:28" x14ac:dyDescent="0.25">
      <c r="A10">
        <v>6.8</v>
      </c>
      <c r="B10">
        <v>3703.6133</v>
      </c>
      <c r="C10">
        <v>747.51946999999996</v>
      </c>
      <c r="D10">
        <v>0.83206000000000002</v>
      </c>
      <c r="E10">
        <v>7.2</v>
      </c>
      <c r="F10">
        <v>4062.5252999999998</v>
      </c>
      <c r="G10">
        <v>388.60746</v>
      </c>
      <c r="H10">
        <v>0.91269</v>
      </c>
      <c r="K10">
        <v>6.8</v>
      </c>
      <c r="L10">
        <v>4606.4708199999995</v>
      </c>
      <c r="M10">
        <v>13198.060240000001</v>
      </c>
      <c r="N10">
        <v>0.25872000000000001</v>
      </c>
      <c r="O10">
        <v>7.2</v>
      </c>
      <c r="P10">
        <v>11889.01201</v>
      </c>
      <c r="Q10">
        <v>5915.5190499999999</v>
      </c>
      <c r="R10">
        <v>0.66774999999999995</v>
      </c>
      <c r="U10">
        <v>6.8</v>
      </c>
      <c r="V10">
        <v>5726.3419999999996</v>
      </c>
      <c r="W10">
        <v>27212.04047</v>
      </c>
      <c r="X10">
        <v>0.17385</v>
      </c>
      <c r="Y10">
        <v>7.2</v>
      </c>
      <c r="Z10">
        <v>13008.48828</v>
      </c>
      <c r="AA10">
        <v>19929.894179999999</v>
      </c>
      <c r="AB10">
        <v>0.39493</v>
      </c>
    </row>
    <row r="11" spans="1:28" x14ac:dyDescent="0.25">
      <c r="A11">
        <v>7.8</v>
      </c>
      <c r="B11">
        <v>3676.6881800000001</v>
      </c>
      <c r="C11">
        <v>855.32809999999995</v>
      </c>
      <c r="D11">
        <v>0.81127000000000005</v>
      </c>
      <c r="E11">
        <v>8.1999999999999993</v>
      </c>
      <c r="F11">
        <v>4140.0284300000003</v>
      </c>
      <c r="G11">
        <v>391.98784999999998</v>
      </c>
      <c r="H11">
        <v>0.91351000000000004</v>
      </c>
      <c r="K11">
        <v>7.8</v>
      </c>
      <c r="L11">
        <v>4570.5215099999996</v>
      </c>
      <c r="M11">
        <v>13557.543610000001</v>
      </c>
      <c r="N11">
        <v>0.25212000000000001</v>
      </c>
      <c r="O11">
        <v>8.1999999999999993</v>
      </c>
      <c r="P11">
        <v>11898.947679999999</v>
      </c>
      <c r="Q11">
        <v>6229.1174300000002</v>
      </c>
      <c r="R11">
        <v>0.65637999999999996</v>
      </c>
      <c r="U11">
        <v>7.8</v>
      </c>
      <c r="V11">
        <v>5681.6531100000002</v>
      </c>
      <c r="W11">
        <v>27855.267349999998</v>
      </c>
      <c r="X11">
        <v>0.16941000000000001</v>
      </c>
      <c r="Y11">
        <v>8.1999999999999993</v>
      </c>
      <c r="Z11">
        <v>13011.564899999999</v>
      </c>
      <c r="AA11">
        <v>20525.35555</v>
      </c>
      <c r="AB11">
        <v>0.38797999999999999</v>
      </c>
    </row>
    <row r="12" spans="1:28" x14ac:dyDescent="0.25">
      <c r="A12">
        <v>8.8000000000000007</v>
      </c>
      <c r="B12">
        <v>3632.81124</v>
      </c>
      <c r="C12">
        <v>918.45506999999998</v>
      </c>
      <c r="D12">
        <v>0.79820000000000002</v>
      </c>
      <c r="E12">
        <v>9.1999999999999993</v>
      </c>
      <c r="F12">
        <v>4170.4180399999996</v>
      </c>
      <c r="G12">
        <v>380.84825999999998</v>
      </c>
      <c r="H12">
        <v>0.91632000000000002</v>
      </c>
      <c r="K12">
        <v>8.8000000000000007</v>
      </c>
      <c r="L12">
        <v>4515.9777100000001</v>
      </c>
      <c r="M12">
        <v>13689.0875</v>
      </c>
      <c r="N12">
        <v>0.24806</v>
      </c>
      <c r="O12">
        <v>9.1999999999999993</v>
      </c>
      <c r="P12">
        <v>11837.04429</v>
      </c>
      <c r="Q12">
        <v>6368.0209299999997</v>
      </c>
      <c r="R12">
        <v>0.65020999999999995</v>
      </c>
      <c r="U12">
        <v>8.8000000000000007</v>
      </c>
      <c r="V12">
        <v>5613.8492699999997</v>
      </c>
      <c r="W12">
        <v>28065.521379999998</v>
      </c>
      <c r="X12">
        <v>0.16669</v>
      </c>
      <c r="Y12">
        <v>9.1999999999999993</v>
      </c>
      <c r="Z12">
        <v>12933.62607</v>
      </c>
      <c r="AA12">
        <v>20745.744579999999</v>
      </c>
      <c r="AB12">
        <v>0.38401999999999997</v>
      </c>
    </row>
    <row r="13" spans="1:28" x14ac:dyDescent="0.25">
      <c r="A13">
        <v>9.8000000000000007</v>
      </c>
      <c r="B13">
        <v>3612.86717</v>
      </c>
      <c r="C13">
        <v>939.78328999999997</v>
      </c>
      <c r="D13">
        <v>0.79357</v>
      </c>
      <c r="E13">
        <v>10.199999999999999</v>
      </c>
      <c r="F13">
        <v>4172.4209000000001</v>
      </c>
      <c r="G13">
        <v>380.22957000000002</v>
      </c>
      <c r="H13">
        <v>0.91647999999999996</v>
      </c>
      <c r="K13">
        <v>9.8000000000000007</v>
      </c>
      <c r="L13">
        <v>4491.1850800000002</v>
      </c>
      <c r="M13">
        <v>13719.416789999999</v>
      </c>
      <c r="N13">
        <v>0.24662000000000001</v>
      </c>
      <c r="O13">
        <v>10.199999999999999</v>
      </c>
      <c r="P13">
        <v>11687.07566</v>
      </c>
      <c r="Q13">
        <v>6523.52621</v>
      </c>
      <c r="R13">
        <v>0.64176999999999995</v>
      </c>
      <c r="U13">
        <v>9.8000000000000007</v>
      </c>
      <c r="V13">
        <v>5583.0293499999998</v>
      </c>
      <c r="W13">
        <v>28106.58412</v>
      </c>
      <c r="X13">
        <v>0.16572000000000001</v>
      </c>
      <c r="Y13">
        <v>10.199999999999999</v>
      </c>
      <c r="Z13">
        <v>12778.92729</v>
      </c>
      <c r="AA13">
        <v>20910.686180000001</v>
      </c>
      <c r="AB13">
        <v>0.37930999999999998</v>
      </c>
    </row>
    <row r="14" spans="1:28" x14ac:dyDescent="0.25">
      <c r="A14">
        <v>10.8</v>
      </c>
      <c r="B14">
        <v>3584.94553</v>
      </c>
      <c r="C14">
        <v>813.28746000000001</v>
      </c>
      <c r="D14">
        <v>0.81508999999999998</v>
      </c>
      <c r="E14">
        <v>11.2</v>
      </c>
      <c r="F14">
        <v>4024.0841399999999</v>
      </c>
      <c r="G14">
        <v>374.14886000000001</v>
      </c>
      <c r="H14">
        <v>0.91493000000000002</v>
      </c>
      <c r="K14">
        <v>10.8</v>
      </c>
      <c r="L14">
        <v>4456.47541</v>
      </c>
      <c r="M14">
        <v>13136.456560000001</v>
      </c>
      <c r="N14">
        <v>0.25330999999999998</v>
      </c>
      <c r="O14">
        <v>11.2</v>
      </c>
      <c r="P14">
        <v>11485.502259999999</v>
      </c>
      <c r="Q14">
        <v>6107.4297100000003</v>
      </c>
      <c r="R14">
        <v>0.65285000000000004</v>
      </c>
      <c r="U14">
        <v>10.8</v>
      </c>
      <c r="V14">
        <v>5539.8814599999996</v>
      </c>
      <c r="W14">
        <v>27007.042679999999</v>
      </c>
      <c r="X14">
        <v>0.17021</v>
      </c>
      <c r="Y14">
        <v>11.2</v>
      </c>
      <c r="Z14">
        <v>12568.995999999999</v>
      </c>
      <c r="AA14">
        <v>19977.92813</v>
      </c>
      <c r="AB14">
        <v>0.38618000000000002</v>
      </c>
    </row>
    <row r="15" spans="1:28" x14ac:dyDescent="0.25">
      <c r="A15">
        <v>11.8</v>
      </c>
      <c r="B15">
        <v>3558.0210099999999</v>
      </c>
      <c r="C15">
        <v>657.98356000000001</v>
      </c>
      <c r="D15">
        <v>0.84392999999999996</v>
      </c>
      <c r="E15">
        <v>12.2</v>
      </c>
      <c r="F15">
        <v>3835.3979599999998</v>
      </c>
      <c r="G15">
        <v>380.60660999999999</v>
      </c>
      <c r="H15">
        <v>0.90971999999999997</v>
      </c>
      <c r="K15">
        <v>11.8</v>
      </c>
      <c r="L15">
        <v>4423.0053500000004</v>
      </c>
      <c r="M15">
        <v>12441.012930000001</v>
      </c>
      <c r="N15">
        <v>0.26227</v>
      </c>
      <c r="O15">
        <v>12.2</v>
      </c>
      <c r="P15">
        <v>11283.849260000001</v>
      </c>
      <c r="Q15">
        <v>5580.1690099999996</v>
      </c>
      <c r="R15">
        <v>0.66910999999999998</v>
      </c>
      <c r="U15">
        <v>11.8</v>
      </c>
      <c r="V15">
        <v>5498.2745599999998</v>
      </c>
      <c r="W15">
        <v>25700.15926</v>
      </c>
      <c r="X15">
        <v>0.17624000000000001</v>
      </c>
      <c r="Y15">
        <v>12.2</v>
      </c>
      <c r="Z15">
        <v>12359.111489999999</v>
      </c>
      <c r="AA15">
        <v>18839.322329999999</v>
      </c>
      <c r="AB15">
        <v>0.39615</v>
      </c>
    </row>
    <row r="16" spans="1:28" x14ac:dyDescent="0.25">
      <c r="A16">
        <v>12.8</v>
      </c>
      <c r="B16">
        <v>3531.0965099999999</v>
      </c>
      <c r="C16">
        <v>851.29175999999995</v>
      </c>
      <c r="D16">
        <v>0.80574999999999997</v>
      </c>
      <c r="E16">
        <v>13.2</v>
      </c>
      <c r="F16">
        <v>3994.4025099999999</v>
      </c>
      <c r="G16">
        <v>387.98576000000003</v>
      </c>
      <c r="H16">
        <v>0.91147</v>
      </c>
      <c r="K16">
        <v>12.8</v>
      </c>
      <c r="L16">
        <v>4389.5352999999996</v>
      </c>
      <c r="M16">
        <v>13140.0178</v>
      </c>
      <c r="N16">
        <v>0.25041000000000002</v>
      </c>
      <c r="O16">
        <v>13.2</v>
      </c>
      <c r="P16">
        <v>11123.330900000001</v>
      </c>
      <c r="Q16">
        <v>6406.2221900000004</v>
      </c>
      <c r="R16">
        <v>0.63454999999999995</v>
      </c>
      <c r="U16">
        <v>12.8</v>
      </c>
      <c r="V16">
        <v>5456.6676600000001</v>
      </c>
      <c r="W16">
        <v>26973.005570000001</v>
      </c>
      <c r="X16">
        <v>0.16825999999999999</v>
      </c>
      <c r="Y16">
        <v>13.2</v>
      </c>
      <c r="Z16">
        <v>12190.461310000001</v>
      </c>
      <c r="AA16">
        <v>20239.211920000002</v>
      </c>
      <c r="AB16">
        <v>0.37590000000000001</v>
      </c>
    </row>
    <row r="17" spans="1:28" x14ac:dyDescent="0.25">
      <c r="A17">
        <v>13.8</v>
      </c>
      <c r="B17">
        <v>3537.0797600000001</v>
      </c>
      <c r="C17">
        <v>1044.1709699999999</v>
      </c>
      <c r="D17">
        <v>0.77207999999999999</v>
      </c>
      <c r="E17">
        <v>14.2</v>
      </c>
      <c r="F17">
        <v>4191.1068299999997</v>
      </c>
      <c r="G17">
        <v>390.14389999999997</v>
      </c>
      <c r="H17">
        <v>0.91483999999999999</v>
      </c>
      <c r="K17">
        <v>13.8</v>
      </c>
      <c r="L17">
        <v>4396.9730900000004</v>
      </c>
      <c r="M17">
        <v>13928.02981</v>
      </c>
      <c r="N17">
        <v>0.23993999999999999</v>
      </c>
      <c r="O17">
        <v>14.2</v>
      </c>
      <c r="P17">
        <v>11111.790789999999</v>
      </c>
      <c r="Q17">
        <v>7213.2121100000004</v>
      </c>
      <c r="R17">
        <v>0.60636999999999996</v>
      </c>
      <c r="U17">
        <v>13.8</v>
      </c>
      <c r="V17">
        <v>5465.9136399999998</v>
      </c>
      <c r="W17">
        <v>28435.34172</v>
      </c>
      <c r="X17">
        <v>0.16123000000000001</v>
      </c>
      <c r="Y17">
        <v>14.2</v>
      </c>
      <c r="Z17">
        <v>12180.689319999999</v>
      </c>
      <c r="AA17">
        <v>21720.566040000002</v>
      </c>
      <c r="AB17">
        <v>0.35930000000000001</v>
      </c>
    </row>
    <row r="18" spans="1:28" x14ac:dyDescent="0.25">
      <c r="A18">
        <v>14.8</v>
      </c>
      <c r="B18">
        <v>3530.09935</v>
      </c>
      <c r="C18">
        <v>1210.9951599999999</v>
      </c>
      <c r="D18">
        <v>0.74456999999999995</v>
      </c>
      <c r="E18">
        <v>15.2</v>
      </c>
      <c r="F18">
        <v>4356.2506400000002</v>
      </c>
      <c r="G18">
        <v>384.84386999999998</v>
      </c>
      <c r="H18">
        <v>0.91883000000000004</v>
      </c>
      <c r="K18">
        <v>14.8</v>
      </c>
      <c r="L18">
        <v>4388.2956700000004</v>
      </c>
      <c r="M18">
        <v>14576.08237</v>
      </c>
      <c r="N18">
        <v>0.23139999999999999</v>
      </c>
      <c r="O18">
        <v>15.2</v>
      </c>
      <c r="P18">
        <v>11150.19275</v>
      </c>
      <c r="Q18">
        <v>7814.1852799999997</v>
      </c>
      <c r="R18">
        <v>0.58794999999999997</v>
      </c>
      <c r="U18">
        <v>14.8</v>
      </c>
      <c r="V18">
        <v>5455.1266699999996</v>
      </c>
      <c r="W18">
        <v>29628.972709999998</v>
      </c>
      <c r="X18">
        <v>0.15548999999999999</v>
      </c>
      <c r="Y18">
        <v>15.2</v>
      </c>
      <c r="Z18">
        <v>12217.18087</v>
      </c>
      <c r="AA18">
        <v>22866.9185</v>
      </c>
      <c r="AB18">
        <v>0.34822999999999998</v>
      </c>
    </row>
    <row r="19" spans="1:28" x14ac:dyDescent="0.25">
      <c r="A19">
        <v>15.8</v>
      </c>
      <c r="B19">
        <v>3518.1328699999999</v>
      </c>
      <c r="C19">
        <v>1259.1703199999999</v>
      </c>
      <c r="D19">
        <v>0.73643000000000003</v>
      </c>
      <c r="E19">
        <v>16.2</v>
      </c>
      <c r="F19">
        <v>4395.2646000000004</v>
      </c>
      <c r="G19">
        <v>382.03858000000002</v>
      </c>
      <c r="H19">
        <v>0.92003000000000001</v>
      </c>
      <c r="K19">
        <v>15.8</v>
      </c>
      <c r="L19">
        <v>4373.4200899999996</v>
      </c>
      <c r="M19">
        <v>14735.792649999999</v>
      </c>
      <c r="N19">
        <v>0.22886000000000001</v>
      </c>
      <c r="O19">
        <v>16.2</v>
      </c>
      <c r="P19">
        <v>11226.135990000001</v>
      </c>
      <c r="Q19">
        <v>7883.0767500000002</v>
      </c>
      <c r="R19">
        <v>0.58747000000000005</v>
      </c>
      <c r="U19">
        <v>15.8</v>
      </c>
      <c r="V19">
        <v>5436.6347100000003</v>
      </c>
      <c r="W19">
        <v>29915.40885</v>
      </c>
      <c r="X19">
        <v>0.15379000000000001</v>
      </c>
      <c r="Y19">
        <v>16.2</v>
      </c>
      <c r="Z19">
        <v>12289.19873</v>
      </c>
      <c r="AA19">
        <v>23062.844829999998</v>
      </c>
      <c r="AB19">
        <v>0.34761999999999998</v>
      </c>
    </row>
    <row r="20" spans="1:28" x14ac:dyDescent="0.25">
      <c r="A20">
        <v>16.8</v>
      </c>
      <c r="B20">
        <v>3503.1748200000002</v>
      </c>
      <c r="C20">
        <v>1385.6487299999999</v>
      </c>
      <c r="D20">
        <v>0.71657000000000004</v>
      </c>
      <c r="E20">
        <v>17.2</v>
      </c>
      <c r="F20">
        <v>4528.6248800000003</v>
      </c>
      <c r="G20">
        <v>360.19866999999999</v>
      </c>
      <c r="H20">
        <v>0.92632000000000003</v>
      </c>
      <c r="K20">
        <v>16.8</v>
      </c>
      <c r="L20">
        <v>4354.8256300000003</v>
      </c>
      <c r="M20">
        <v>15200.468559999999</v>
      </c>
      <c r="N20">
        <v>0.22269</v>
      </c>
      <c r="O20">
        <v>17.2</v>
      </c>
      <c r="P20">
        <v>11311.43894</v>
      </c>
      <c r="Q20">
        <v>8243.8552500000005</v>
      </c>
      <c r="R20">
        <v>0.57843</v>
      </c>
      <c r="U20">
        <v>16.8</v>
      </c>
      <c r="V20">
        <v>5413.5197600000001</v>
      </c>
      <c r="W20">
        <v>30763.77449</v>
      </c>
      <c r="X20">
        <v>0.14964</v>
      </c>
      <c r="Y20">
        <v>17.2</v>
      </c>
      <c r="Z20">
        <v>12370.12954</v>
      </c>
      <c r="AA20">
        <v>23807.164720000001</v>
      </c>
      <c r="AB20">
        <v>0.34193000000000001</v>
      </c>
    </row>
    <row r="21" spans="1:28" x14ac:dyDescent="0.25">
      <c r="A21">
        <v>17.8</v>
      </c>
      <c r="B21">
        <v>3513.1468500000001</v>
      </c>
      <c r="C21">
        <v>1373.52225</v>
      </c>
      <c r="D21">
        <v>0.71892</v>
      </c>
      <c r="E21">
        <v>18.2</v>
      </c>
      <c r="F21">
        <v>4549.1935199999998</v>
      </c>
      <c r="G21">
        <v>337.47557999999998</v>
      </c>
      <c r="H21">
        <v>0.93093999999999999</v>
      </c>
      <c r="K21">
        <v>17.8</v>
      </c>
      <c r="L21">
        <v>4367.2219400000004</v>
      </c>
      <c r="M21">
        <v>15179.454470000001</v>
      </c>
      <c r="N21">
        <v>0.22342999999999999</v>
      </c>
      <c r="O21">
        <v>18.2</v>
      </c>
      <c r="P21">
        <v>11379.33</v>
      </c>
      <c r="Q21">
        <v>8167.3464100000001</v>
      </c>
      <c r="R21">
        <v>0.58216000000000001</v>
      </c>
      <c r="U21">
        <v>17.8</v>
      </c>
      <c r="V21">
        <v>5428.9297299999998</v>
      </c>
      <c r="W21">
        <v>30732.421620000001</v>
      </c>
      <c r="X21">
        <v>0.15013000000000001</v>
      </c>
      <c r="Y21">
        <v>18.2</v>
      </c>
      <c r="Z21">
        <v>12441.077880000001</v>
      </c>
      <c r="AA21">
        <v>23720.27348</v>
      </c>
      <c r="AB21">
        <v>0.34404000000000001</v>
      </c>
    </row>
    <row r="22" spans="1:28" x14ac:dyDescent="0.25">
      <c r="A22">
        <v>18.8</v>
      </c>
      <c r="B22">
        <v>3506.1664300000002</v>
      </c>
      <c r="C22">
        <v>1450.3061299999999</v>
      </c>
      <c r="D22">
        <v>0.70738999999999996</v>
      </c>
      <c r="E22">
        <v>19.2</v>
      </c>
      <c r="F22">
        <v>4624.6385600000003</v>
      </c>
      <c r="G22">
        <v>331.83400999999998</v>
      </c>
      <c r="H22">
        <v>0.93305000000000005</v>
      </c>
      <c r="K22">
        <v>18.8</v>
      </c>
      <c r="L22">
        <v>4358.5445099999997</v>
      </c>
      <c r="M22">
        <v>15467.345740000001</v>
      </c>
      <c r="N22">
        <v>0.21984000000000001</v>
      </c>
      <c r="O22">
        <v>19.2</v>
      </c>
      <c r="P22">
        <v>11408.688759999999</v>
      </c>
      <c r="Q22">
        <v>8417.2014899999995</v>
      </c>
      <c r="R22">
        <v>0.57543999999999995</v>
      </c>
      <c r="U22">
        <v>18.8</v>
      </c>
      <c r="V22">
        <v>5418.14275</v>
      </c>
      <c r="W22">
        <v>31259.754219999999</v>
      </c>
      <c r="X22">
        <v>0.14771999999999999</v>
      </c>
      <c r="Y22">
        <v>19.2</v>
      </c>
      <c r="Z22">
        <v>12468.304770000001</v>
      </c>
      <c r="AA22">
        <v>24209.592199999999</v>
      </c>
      <c r="AB22">
        <v>0.33994000000000002</v>
      </c>
    </row>
    <row r="23" spans="1:28" x14ac:dyDescent="0.25">
      <c r="A23">
        <v>19.8</v>
      </c>
      <c r="B23">
        <v>3506.1664300000002</v>
      </c>
      <c r="C23">
        <v>1393.85331</v>
      </c>
      <c r="D23">
        <v>0.71553999999999995</v>
      </c>
      <c r="E23">
        <v>20.2</v>
      </c>
      <c r="F23">
        <v>4564.2484800000002</v>
      </c>
      <c r="G23">
        <v>335.77125999999998</v>
      </c>
      <c r="H23">
        <v>0.93147999999999997</v>
      </c>
      <c r="K23">
        <v>19.8</v>
      </c>
      <c r="L23">
        <v>4358.5445200000004</v>
      </c>
      <c r="M23">
        <v>15241.534439999999</v>
      </c>
      <c r="N23">
        <v>0.22237000000000001</v>
      </c>
      <c r="O23">
        <v>20.2</v>
      </c>
      <c r="P23">
        <v>11435.77867</v>
      </c>
      <c r="Q23">
        <v>8164.3002900000001</v>
      </c>
      <c r="R23">
        <v>0.58345999999999998</v>
      </c>
      <c r="U23">
        <v>19.8</v>
      </c>
      <c r="V23">
        <v>5418.14275</v>
      </c>
      <c r="W23">
        <v>30842.00332</v>
      </c>
      <c r="X23">
        <v>0.14942</v>
      </c>
      <c r="Y23">
        <v>20.2</v>
      </c>
      <c r="Z23">
        <v>12495.331539999999</v>
      </c>
      <c r="AA23">
        <v>23764.81453</v>
      </c>
      <c r="AB23">
        <v>0.34460000000000002</v>
      </c>
    </row>
    <row r="24" spans="1:28" x14ac:dyDescent="0.25">
      <c r="A24">
        <v>20.8</v>
      </c>
      <c r="B24">
        <v>3523.11888</v>
      </c>
      <c r="C24">
        <v>1214.3986199999999</v>
      </c>
      <c r="D24">
        <v>0.74365999999999999</v>
      </c>
      <c r="E24">
        <v>21.2</v>
      </c>
      <c r="F24">
        <v>4398.8204699999997</v>
      </c>
      <c r="G24">
        <v>338.69702999999998</v>
      </c>
      <c r="H24">
        <v>0.92850999999999995</v>
      </c>
      <c r="K24">
        <v>20.8</v>
      </c>
      <c r="L24">
        <v>4379.6182500000004</v>
      </c>
      <c r="M24">
        <v>14570.451779999999</v>
      </c>
      <c r="N24">
        <v>0.23111000000000001</v>
      </c>
      <c r="O24">
        <v>21.2</v>
      </c>
      <c r="P24">
        <v>11483.7438</v>
      </c>
      <c r="Q24">
        <v>7466.3262400000003</v>
      </c>
      <c r="R24">
        <v>0.60599999999999998</v>
      </c>
      <c r="U24">
        <v>20.8</v>
      </c>
      <c r="V24">
        <v>5444.3397000000004</v>
      </c>
      <c r="W24">
        <v>29613.289870000001</v>
      </c>
      <c r="X24">
        <v>0.15529999999999999</v>
      </c>
      <c r="Y24">
        <v>21.2</v>
      </c>
      <c r="Z24">
        <v>12548.47235</v>
      </c>
      <c r="AA24">
        <v>22509.157210000001</v>
      </c>
      <c r="AB24">
        <v>0.35793999999999998</v>
      </c>
    </row>
    <row r="25" spans="1:28" x14ac:dyDescent="0.25">
      <c r="A25">
        <v>21.8</v>
      </c>
      <c r="B25">
        <v>3578.9622899999999</v>
      </c>
      <c r="C25">
        <v>972.32748000000004</v>
      </c>
      <c r="D25">
        <v>0.78635999999999995</v>
      </c>
      <c r="E25">
        <v>22.2</v>
      </c>
      <c r="F25">
        <v>4222.2483000000002</v>
      </c>
      <c r="G25">
        <v>329.04145999999997</v>
      </c>
      <c r="H25">
        <v>0.92769999999999997</v>
      </c>
      <c r="K25">
        <v>21.8</v>
      </c>
      <c r="L25">
        <v>4449.0376100000003</v>
      </c>
      <c r="M25">
        <v>13756.121450000001</v>
      </c>
      <c r="N25">
        <v>0.24437999999999999</v>
      </c>
      <c r="O25">
        <v>22.2</v>
      </c>
      <c r="P25">
        <v>11606.72601</v>
      </c>
      <c r="Q25">
        <v>6598.4330499999996</v>
      </c>
      <c r="R25">
        <v>0.63754999999999995</v>
      </c>
      <c r="U25">
        <v>21.8</v>
      </c>
      <c r="V25">
        <v>5530.6354799999999</v>
      </c>
      <c r="W25">
        <v>28148.908780000002</v>
      </c>
      <c r="X25">
        <v>0.16420999999999999</v>
      </c>
      <c r="Y25">
        <v>22.2</v>
      </c>
      <c r="Z25">
        <v>12688.33251</v>
      </c>
      <c r="AA25">
        <v>20991.211749999999</v>
      </c>
      <c r="AB25">
        <v>0.37674000000000002</v>
      </c>
    </row>
    <row r="26" spans="1:28" x14ac:dyDescent="0.25">
      <c r="A26">
        <v>22.8</v>
      </c>
      <c r="B26">
        <v>3626.8280199999999</v>
      </c>
      <c r="C26">
        <v>805.88291000000004</v>
      </c>
      <c r="D26">
        <v>0.81820000000000004</v>
      </c>
      <c r="E26">
        <v>23.2</v>
      </c>
      <c r="F26">
        <v>4098.8804499999997</v>
      </c>
      <c r="G26">
        <v>333.83048000000002</v>
      </c>
      <c r="H26">
        <v>0.92469000000000001</v>
      </c>
      <c r="K26">
        <v>22.8</v>
      </c>
      <c r="L26">
        <v>4508.5399299999999</v>
      </c>
      <c r="M26">
        <v>13222.3038</v>
      </c>
      <c r="N26">
        <v>0.25428000000000001</v>
      </c>
      <c r="O26">
        <v>23.2</v>
      </c>
      <c r="P26">
        <v>11729.11089</v>
      </c>
      <c r="Q26">
        <v>6001.7328399999997</v>
      </c>
      <c r="R26">
        <v>0.66151000000000004</v>
      </c>
      <c r="U26">
        <v>22.8</v>
      </c>
      <c r="V26">
        <v>5604.6032999999998</v>
      </c>
      <c r="W26">
        <v>27197.457600000002</v>
      </c>
      <c r="X26">
        <v>0.17086000000000001</v>
      </c>
      <c r="Y26">
        <v>23.2</v>
      </c>
      <c r="Z26">
        <v>12825.18873</v>
      </c>
      <c r="AA26">
        <v>19976.872159999999</v>
      </c>
      <c r="AB26">
        <v>0.39099</v>
      </c>
    </row>
    <row r="27" spans="1:28" x14ac:dyDescent="0.25">
      <c r="A27">
        <v>23.8</v>
      </c>
      <c r="B27">
        <v>3669.70775</v>
      </c>
      <c r="C27">
        <v>938.00522000000001</v>
      </c>
      <c r="D27">
        <v>0.79642999999999997</v>
      </c>
      <c r="E27">
        <v>24.2</v>
      </c>
      <c r="F27">
        <v>4274.6562100000001</v>
      </c>
      <c r="G27">
        <v>333.05676999999997</v>
      </c>
      <c r="H27">
        <v>0.92771999999999999</v>
      </c>
      <c r="K27">
        <v>23.8</v>
      </c>
      <c r="L27">
        <v>4561.8440799999998</v>
      </c>
      <c r="M27">
        <v>13869.00783</v>
      </c>
      <c r="N27">
        <v>0.24751000000000001</v>
      </c>
      <c r="O27">
        <v>24.2</v>
      </c>
      <c r="P27">
        <v>11850.010609999999</v>
      </c>
      <c r="Q27">
        <v>6580.8413</v>
      </c>
      <c r="R27">
        <v>0.64293999999999996</v>
      </c>
      <c r="U27">
        <v>23.8</v>
      </c>
      <c r="V27">
        <v>5670.8661400000001</v>
      </c>
      <c r="W27">
        <v>28426.209900000002</v>
      </c>
      <c r="X27">
        <v>0.16632</v>
      </c>
      <c r="Y27">
        <v>24.2</v>
      </c>
      <c r="Z27">
        <v>12959.013010000001</v>
      </c>
      <c r="AA27">
        <v>21138.063030000001</v>
      </c>
      <c r="AB27">
        <v>0.38006000000000001</v>
      </c>
    </row>
    <row r="29" spans="1:28" x14ac:dyDescent="0.25">
      <c r="A29" t="s">
        <v>13</v>
      </c>
      <c r="B29" t="s">
        <v>14</v>
      </c>
      <c r="C29" t="s">
        <v>15</v>
      </c>
      <c r="D29" t="s">
        <v>16</v>
      </c>
      <c r="E29" t="s">
        <v>13</v>
      </c>
      <c r="F29" t="s">
        <v>14</v>
      </c>
      <c r="G29" t="s">
        <v>15</v>
      </c>
      <c r="H29" t="s">
        <v>16</v>
      </c>
      <c r="K29" t="s">
        <v>13</v>
      </c>
      <c r="L29" t="s">
        <v>14</v>
      </c>
      <c r="M29" t="s">
        <v>15</v>
      </c>
      <c r="N29" t="s">
        <v>16</v>
      </c>
      <c r="O29" t="s">
        <v>13</v>
      </c>
      <c r="P29" t="s">
        <v>14</v>
      </c>
      <c r="Q29" t="s">
        <v>15</v>
      </c>
      <c r="R29" t="s">
        <v>16</v>
      </c>
      <c r="U29" t="s">
        <v>13</v>
      </c>
      <c r="V29" t="s">
        <v>14</v>
      </c>
      <c r="W29" t="s">
        <v>15</v>
      </c>
      <c r="X29" t="s">
        <v>16</v>
      </c>
      <c r="Y29" t="s">
        <v>13</v>
      </c>
      <c r="Z29" t="s">
        <v>14</v>
      </c>
      <c r="AA29" t="s">
        <v>15</v>
      </c>
      <c r="AB29" t="s">
        <v>16</v>
      </c>
    </row>
    <row r="30" spans="1:28" x14ac:dyDescent="0.25">
      <c r="A30">
        <v>1</v>
      </c>
      <c r="B30">
        <v>3948.1024709087101</v>
      </c>
      <c r="C30">
        <v>962.70790378988897</v>
      </c>
      <c r="D30">
        <v>0.80396149915502002</v>
      </c>
      <c r="E30">
        <v>1</v>
      </c>
      <c r="F30">
        <v>4592.6694631506598</v>
      </c>
      <c r="G30">
        <v>318.14091154794198</v>
      </c>
      <c r="H30">
        <v>0.93521620928654403</v>
      </c>
      <c r="K30">
        <v>1</v>
      </c>
      <c r="L30">
        <v>4938.0317299999997</v>
      </c>
      <c r="M30">
        <v>14705.209769999999</v>
      </c>
      <c r="N30">
        <v>0.25138578779132598</v>
      </c>
      <c r="O30">
        <v>1</v>
      </c>
      <c r="P30">
        <v>11941.317491251901</v>
      </c>
      <c r="Q30">
        <v>7701.9240075424896</v>
      </c>
      <c r="R30">
        <v>0.60790972263843601</v>
      </c>
      <c r="U30">
        <v>1</v>
      </c>
      <c r="V30">
        <v>6138.5179399999997</v>
      </c>
      <c r="W30">
        <v>30201.47884</v>
      </c>
      <c r="X30">
        <v>0.168919055602023</v>
      </c>
      <c r="Y30">
        <v>1</v>
      </c>
      <c r="Z30">
        <v>12231.6827235537</v>
      </c>
      <c r="AA30">
        <v>24108.314049215998</v>
      </c>
      <c r="AB30">
        <v>0.33659008832711701</v>
      </c>
    </row>
    <row r="31" spans="1:28" x14ac:dyDescent="0.25">
      <c r="A31">
        <v>2</v>
      </c>
      <c r="B31">
        <v>3886.9115784424898</v>
      </c>
      <c r="C31">
        <v>803.16140776702002</v>
      </c>
      <c r="D31">
        <v>0.82875289784858297</v>
      </c>
      <c r="E31">
        <v>2</v>
      </c>
      <c r="F31">
        <v>4350.57208080483</v>
      </c>
      <c r="G31">
        <v>339.50090540468699</v>
      </c>
      <c r="H31">
        <v>0.92761287374355605</v>
      </c>
      <c r="K31">
        <v>2</v>
      </c>
      <c r="L31">
        <v>4859.3556500000004</v>
      </c>
      <c r="M31">
        <v>13900.93629</v>
      </c>
      <c r="N31">
        <v>0.25902345582387698</v>
      </c>
      <c r="O31">
        <v>2</v>
      </c>
      <c r="P31">
        <v>11724.238483208101</v>
      </c>
      <c r="Q31">
        <v>7036.0534616299901</v>
      </c>
      <c r="R31">
        <v>0.62494968189628997</v>
      </c>
      <c r="U31">
        <v>2</v>
      </c>
      <c r="V31">
        <v>6040.7052299999996</v>
      </c>
      <c r="W31">
        <v>28665.834869999999</v>
      </c>
      <c r="X31">
        <v>0.174050919872033</v>
      </c>
      <c r="Y31">
        <v>2</v>
      </c>
      <c r="Z31">
        <v>12009.6345470177</v>
      </c>
      <c r="AA31">
        <v>22696.905550932701</v>
      </c>
      <c r="AB31">
        <v>0.34603375943333903</v>
      </c>
    </row>
    <row r="32" spans="1:28" x14ac:dyDescent="0.25">
      <c r="A32">
        <v>3</v>
      </c>
      <c r="B32">
        <v>3824.28888068182</v>
      </c>
      <c r="C32">
        <v>940.70068136478005</v>
      </c>
      <c r="D32">
        <v>0.80258074669092405</v>
      </c>
      <c r="E32">
        <v>3</v>
      </c>
      <c r="F32">
        <v>4417.6234445187802</v>
      </c>
      <c r="G32">
        <v>347.36611752782397</v>
      </c>
      <c r="H32">
        <v>0.92710034030407695</v>
      </c>
      <c r="K32">
        <v>3</v>
      </c>
      <c r="L32">
        <v>4771.3418099999999</v>
      </c>
      <c r="M32">
        <v>14288.61644</v>
      </c>
      <c r="N32">
        <v>0.25033327758128299</v>
      </c>
      <c r="O32">
        <v>3</v>
      </c>
      <c r="P32">
        <v>11729.5353428012</v>
      </c>
      <c r="Q32">
        <v>7330.4229053851795</v>
      </c>
      <c r="R32">
        <v>0.61540194317672903</v>
      </c>
      <c r="U32">
        <v>3</v>
      </c>
      <c r="V32">
        <v>5931.2945</v>
      </c>
      <c r="W32">
        <v>29329.628260000001</v>
      </c>
      <c r="X32">
        <v>0.16821155072129201</v>
      </c>
      <c r="Y32">
        <v>3</v>
      </c>
      <c r="Z32">
        <v>11832.8791118721</v>
      </c>
      <c r="AA32">
        <v>23428.043647272701</v>
      </c>
      <c r="AB32">
        <v>0.33558052898100299</v>
      </c>
    </row>
    <row r="33" spans="1:28" x14ac:dyDescent="0.25">
      <c r="A33">
        <v>4</v>
      </c>
      <c r="B33">
        <v>3802.3443975314099</v>
      </c>
      <c r="C33">
        <v>924.94077273650396</v>
      </c>
      <c r="D33">
        <v>0.80433996693199605</v>
      </c>
      <c r="E33">
        <v>4</v>
      </c>
      <c r="F33">
        <v>4372.0840475960003</v>
      </c>
      <c r="G33">
        <v>355.20112267191899</v>
      </c>
      <c r="H33">
        <v>0.924861498750712</v>
      </c>
      <c r="K33">
        <v>4</v>
      </c>
      <c r="L33">
        <v>4741.5906599999998</v>
      </c>
      <c r="M33">
        <v>14167.55003</v>
      </c>
      <c r="N33">
        <v>0.25075653807327702</v>
      </c>
      <c r="O33">
        <v>4</v>
      </c>
      <c r="P33">
        <v>11660.4158326085</v>
      </c>
      <c r="Q33">
        <v>7248.72484846318</v>
      </c>
      <c r="R33">
        <v>0.616654983390162</v>
      </c>
      <c r="U33">
        <v>4</v>
      </c>
      <c r="V33">
        <v>5894.31059</v>
      </c>
      <c r="W33">
        <v>29087.59967</v>
      </c>
      <c r="X33">
        <v>0.16849596146074799</v>
      </c>
      <c r="Y33">
        <v>4</v>
      </c>
      <c r="Z33">
        <v>11762.504436433201</v>
      </c>
      <c r="AA33">
        <v>23219.405823549401</v>
      </c>
      <c r="AB33">
        <v>0.33624534363661801</v>
      </c>
    </row>
    <row r="34" spans="1:28" x14ac:dyDescent="0.25">
      <c r="A34">
        <v>5</v>
      </c>
      <c r="B34">
        <v>3755.1229226772898</v>
      </c>
      <c r="C34">
        <v>829.47877801640095</v>
      </c>
      <c r="D34">
        <v>0.81907288088060204</v>
      </c>
      <c r="E34">
        <v>5</v>
      </c>
      <c r="F34">
        <v>4214.68599672856</v>
      </c>
      <c r="G34">
        <v>369.91570396513299</v>
      </c>
      <c r="H34">
        <v>0.91931344790341096</v>
      </c>
      <c r="K34">
        <v>5</v>
      </c>
      <c r="L34">
        <v>4677.1298100000004</v>
      </c>
      <c r="M34">
        <v>13661.27699</v>
      </c>
      <c r="N34">
        <v>0.25504559175441499</v>
      </c>
      <c r="O34">
        <v>5</v>
      </c>
      <c r="P34">
        <v>11613.931977501799</v>
      </c>
      <c r="Q34">
        <v>6724.4748252729596</v>
      </c>
      <c r="R34">
        <v>0.63331193938529695</v>
      </c>
      <c r="U34">
        <v>5</v>
      </c>
      <c r="V34">
        <v>5814.1787800000002</v>
      </c>
      <c r="W34">
        <v>28111.873800000001</v>
      </c>
      <c r="X34">
        <v>0.171377992472381</v>
      </c>
      <c r="Y34">
        <v>5</v>
      </c>
      <c r="Z34">
        <v>11687.852252065501</v>
      </c>
      <c r="AA34">
        <v>22238.200333067802</v>
      </c>
      <c r="AB34">
        <v>0.34450964263337902</v>
      </c>
    </row>
    <row r="35" spans="1:28" x14ac:dyDescent="0.25">
      <c r="A35">
        <v>6</v>
      </c>
      <c r="B35">
        <v>3743.6955269353798</v>
      </c>
      <c r="C35">
        <v>668.90946005558703</v>
      </c>
      <c r="D35">
        <v>0.84840939489765499</v>
      </c>
      <c r="E35">
        <v>6</v>
      </c>
      <c r="F35">
        <v>4032.10030272424</v>
      </c>
      <c r="G35">
        <v>380.50468426672899</v>
      </c>
      <c r="H35">
        <v>0.91376869550106699</v>
      </c>
      <c r="K35">
        <v>6</v>
      </c>
      <c r="L35">
        <v>4663.4938700000002</v>
      </c>
      <c r="M35">
        <v>12986.926079999999</v>
      </c>
      <c r="N35">
        <v>0.26421432977927201</v>
      </c>
      <c r="O35">
        <v>6</v>
      </c>
      <c r="P35">
        <v>11644.2839488104</v>
      </c>
      <c r="Q35">
        <v>6006.13599915349</v>
      </c>
      <c r="R35">
        <v>0.65971710492665403</v>
      </c>
      <c r="U35">
        <v>6</v>
      </c>
      <c r="V35">
        <v>5797.2278200000001</v>
      </c>
      <c r="W35">
        <v>26856.049080000001</v>
      </c>
      <c r="X35">
        <v>0.177538929463222</v>
      </c>
      <c r="Y35">
        <v>6</v>
      </c>
      <c r="Z35">
        <v>11726.5841755813</v>
      </c>
      <c r="AA35">
        <v>20926.6927281518</v>
      </c>
      <c r="AB35">
        <v>0.35912426829788302</v>
      </c>
    </row>
    <row r="36" spans="1:28" x14ac:dyDescent="0.25">
      <c r="A36">
        <v>7</v>
      </c>
      <c r="B36">
        <v>3703.6133233734899</v>
      </c>
      <c r="C36">
        <v>747.51944205945995</v>
      </c>
      <c r="D36">
        <v>0.83206085249475803</v>
      </c>
      <c r="E36">
        <v>7</v>
      </c>
      <c r="F36">
        <v>4063.8843319689499</v>
      </c>
      <c r="G36">
        <v>387.24843346399302</v>
      </c>
      <c r="H36">
        <v>0.91300002631435195</v>
      </c>
      <c r="K36">
        <v>7</v>
      </c>
      <c r="L36">
        <v>4606.4708199999995</v>
      </c>
      <c r="M36">
        <v>13198.060240000001</v>
      </c>
      <c r="N36">
        <v>0.258724636470131</v>
      </c>
      <c r="O36">
        <v>7</v>
      </c>
      <c r="P36">
        <v>11493.7558509549</v>
      </c>
      <c r="Q36">
        <v>6310.7752107768802</v>
      </c>
      <c r="R36">
        <v>0.64555229290250904</v>
      </c>
      <c r="U36">
        <v>7</v>
      </c>
      <c r="V36">
        <v>5726.3419999999996</v>
      </c>
      <c r="W36">
        <v>27212.04047</v>
      </c>
      <c r="X36">
        <v>0.17385012785066101</v>
      </c>
      <c r="Y36">
        <v>7</v>
      </c>
      <c r="Z36">
        <v>11717.927275121499</v>
      </c>
      <c r="AA36">
        <v>21220.455189082299</v>
      </c>
      <c r="AB36">
        <v>0.35575296655372002</v>
      </c>
    </row>
    <row r="37" spans="1:28" x14ac:dyDescent="0.25">
      <c r="A37">
        <v>8</v>
      </c>
      <c r="B37">
        <v>3676.6881898421602</v>
      </c>
      <c r="C37">
        <v>855.32808790629997</v>
      </c>
      <c r="D37">
        <v>0.81126985529468698</v>
      </c>
      <c r="E37">
        <v>8</v>
      </c>
      <c r="F37">
        <v>4140.1132036675699</v>
      </c>
      <c r="G37">
        <v>391.90307408089001</v>
      </c>
      <c r="H37">
        <v>0.91352566935712998</v>
      </c>
      <c r="K37">
        <v>8</v>
      </c>
      <c r="L37">
        <v>4570.5215099999996</v>
      </c>
      <c r="M37">
        <v>13557.543610000001</v>
      </c>
      <c r="N37">
        <v>0.25212406728637698</v>
      </c>
      <c r="O37">
        <v>8</v>
      </c>
      <c r="P37">
        <v>11681.109345668099</v>
      </c>
      <c r="Q37">
        <v>6446.9557653257698</v>
      </c>
      <c r="R37">
        <v>0.64436602991810799</v>
      </c>
      <c r="U37">
        <v>8</v>
      </c>
      <c r="V37">
        <v>5681.6531100000002</v>
      </c>
      <c r="W37">
        <v>27855.267349999998</v>
      </c>
      <c r="X37">
        <v>0.169414872694612</v>
      </c>
      <c r="Y37">
        <v>8</v>
      </c>
      <c r="Z37">
        <v>11712.437744983001</v>
      </c>
      <c r="AA37">
        <v>21824.482710355602</v>
      </c>
      <c r="AB37">
        <v>0.34924010869097499</v>
      </c>
    </row>
    <row r="38" spans="1:28" x14ac:dyDescent="0.25">
      <c r="A38">
        <v>9</v>
      </c>
      <c r="B38">
        <v>3632.8112355276999</v>
      </c>
      <c r="C38">
        <v>918.455068707961</v>
      </c>
      <c r="D38">
        <v>0.79819790640393995</v>
      </c>
      <c r="E38">
        <v>9</v>
      </c>
      <c r="F38">
        <v>4170.4173673994001</v>
      </c>
      <c r="G38">
        <v>380.84893683626598</v>
      </c>
      <c r="H38">
        <v>0.91632022576182204</v>
      </c>
      <c r="K38">
        <v>9</v>
      </c>
      <c r="L38">
        <v>4515.9777100000001</v>
      </c>
      <c r="M38">
        <v>13689.0875</v>
      </c>
      <c r="N38">
        <v>0.24806160595278301</v>
      </c>
      <c r="O38">
        <v>9</v>
      </c>
      <c r="P38">
        <v>11616.7814601713</v>
      </c>
      <c r="Q38">
        <v>6588.2837567713796</v>
      </c>
      <c r="R38">
        <v>0.63810710490397204</v>
      </c>
      <c r="U38">
        <v>9</v>
      </c>
      <c r="V38">
        <v>5613.8492699999997</v>
      </c>
      <c r="W38">
        <v>28065.521379999998</v>
      </c>
      <c r="X38">
        <v>0.166685100250549</v>
      </c>
      <c r="Y38">
        <v>9</v>
      </c>
      <c r="Z38">
        <v>11636.3831571802</v>
      </c>
      <c r="AA38">
        <v>22042.987494163699</v>
      </c>
      <c r="AB38">
        <v>0.34550476841276301</v>
      </c>
    </row>
    <row r="39" spans="1:28" x14ac:dyDescent="0.25">
      <c r="A39">
        <v>10</v>
      </c>
      <c r="B39">
        <v>3612.8671773667202</v>
      </c>
      <c r="C39">
        <v>939.78329105243995</v>
      </c>
      <c r="D39">
        <v>0.793574468856871</v>
      </c>
      <c r="E39">
        <v>10</v>
      </c>
      <c r="F39">
        <v>4172.4232772579999</v>
      </c>
      <c r="G39">
        <v>380.22719116116298</v>
      </c>
      <c r="H39">
        <v>0.91648223517295602</v>
      </c>
      <c r="K39">
        <v>10</v>
      </c>
      <c r="L39">
        <v>4491.1850800000002</v>
      </c>
      <c r="M39">
        <v>13719.416789999999</v>
      </c>
      <c r="N39">
        <v>0.246624747190024</v>
      </c>
      <c r="O39">
        <v>10</v>
      </c>
      <c r="P39">
        <v>11447.1410882979</v>
      </c>
      <c r="Q39">
        <v>6763.4607853787602</v>
      </c>
      <c r="R39">
        <v>0.628597625037571</v>
      </c>
      <c r="U39">
        <v>10</v>
      </c>
      <c r="V39">
        <v>5583.0293499999998</v>
      </c>
      <c r="W39">
        <v>28106.58412</v>
      </c>
      <c r="X39">
        <v>0.165719602403641</v>
      </c>
      <c r="Y39">
        <v>10</v>
      </c>
      <c r="Z39">
        <v>11503.6346760955</v>
      </c>
      <c r="AA39">
        <v>22185.9787902063</v>
      </c>
      <c r="AB39">
        <v>0.34145938443615897</v>
      </c>
    </row>
    <row r="40" spans="1:28" x14ac:dyDescent="0.25">
      <c r="A40">
        <v>11</v>
      </c>
      <c r="B40">
        <v>3584.9454923298299</v>
      </c>
      <c r="C40">
        <v>813.28749889820006</v>
      </c>
      <c r="D40">
        <v>0.81508767259027803</v>
      </c>
      <c r="E40">
        <v>11</v>
      </c>
      <c r="F40">
        <v>4024.0842589536101</v>
      </c>
      <c r="G40">
        <v>374.14873227442303</v>
      </c>
      <c r="H40">
        <v>0.91493203451917304</v>
      </c>
      <c r="K40">
        <v>11</v>
      </c>
      <c r="L40">
        <v>4456.47541</v>
      </c>
      <c r="M40">
        <v>13136.456560000001</v>
      </c>
      <c r="N40">
        <v>0.25331055727646201</v>
      </c>
      <c r="O40">
        <v>11</v>
      </c>
      <c r="P40">
        <v>11275.2446714815</v>
      </c>
      <c r="Q40">
        <v>6317.6872934306903</v>
      </c>
      <c r="R40">
        <v>0.64089628118662301</v>
      </c>
      <c r="U40">
        <v>11</v>
      </c>
      <c r="V40">
        <v>5539.8814599999996</v>
      </c>
      <c r="W40">
        <v>27007.042679999999</v>
      </c>
      <c r="X40">
        <v>0.17021213541566799</v>
      </c>
      <c r="Y40">
        <v>11</v>
      </c>
      <c r="Z40">
        <v>11323.202792911099</v>
      </c>
      <c r="AA40">
        <v>21223.721342176399</v>
      </c>
      <c r="AB40">
        <v>0.34790392929032599</v>
      </c>
    </row>
    <row r="41" spans="1:28" x14ac:dyDescent="0.25">
      <c r="A41">
        <v>12</v>
      </c>
      <c r="B41">
        <v>3558.0210185844699</v>
      </c>
      <c r="C41">
        <v>657.98355103023403</v>
      </c>
      <c r="D41">
        <v>0.84393196445459095</v>
      </c>
      <c r="E41">
        <v>12</v>
      </c>
      <c r="F41">
        <v>3835.40072233303</v>
      </c>
      <c r="G41">
        <v>380.60384728167202</v>
      </c>
      <c r="H41">
        <v>0.90972404298972198</v>
      </c>
      <c r="K41">
        <v>12</v>
      </c>
      <c r="L41">
        <v>4423.0053500000004</v>
      </c>
      <c r="M41">
        <v>12441.012930000001</v>
      </c>
      <c r="N41">
        <v>0.26227470081029097</v>
      </c>
      <c r="O41">
        <v>12</v>
      </c>
      <c r="P41">
        <v>11078.6273319763</v>
      </c>
      <c r="Q41">
        <v>5785.3909464825401</v>
      </c>
      <c r="R41">
        <v>0.65693876447747401</v>
      </c>
      <c r="U41">
        <v>12</v>
      </c>
      <c r="V41">
        <v>5498.2745599999998</v>
      </c>
      <c r="W41">
        <v>25700.15926</v>
      </c>
      <c r="X41">
        <v>0.17623559547858</v>
      </c>
      <c r="Y41">
        <v>12</v>
      </c>
      <c r="Z41">
        <v>11143.211993684001</v>
      </c>
      <c r="AA41">
        <v>20055.221821464798</v>
      </c>
      <c r="AB41">
        <v>0.35717215997789198</v>
      </c>
    </row>
    <row r="42" spans="1:28" x14ac:dyDescent="0.25">
      <c r="A42">
        <v>13</v>
      </c>
      <c r="B42">
        <v>3531.09651731656</v>
      </c>
      <c r="C42">
        <v>851.29175622023104</v>
      </c>
      <c r="D42">
        <v>0.805747071440295</v>
      </c>
      <c r="E42">
        <v>13</v>
      </c>
      <c r="F42">
        <v>3994.4060272817001</v>
      </c>
      <c r="G42">
        <v>387.98224625508999</v>
      </c>
      <c r="H42">
        <v>0.91146785222159898</v>
      </c>
      <c r="K42">
        <v>13</v>
      </c>
      <c r="L42">
        <v>4389.5352999999996</v>
      </c>
      <c r="M42">
        <v>13140.0178</v>
      </c>
      <c r="N42">
        <v>0.25040771279826701</v>
      </c>
      <c r="O42">
        <v>13</v>
      </c>
      <c r="P42">
        <v>10937.9682449554</v>
      </c>
      <c r="Q42">
        <v>6591.5848491917204</v>
      </c>
      <c r="R42">
        <v>0.62397302351121797</v>
      </c>
      <c r="U42">
        <v>13</v>
      </c>
      <c r="V42">
        <v>5456.6676600000001</v>
      </c>
      <c r="W42">
        <v>26973.005570000001</v>
      </c>
      <c r="X42">
        <v>0.16826156789098301</v>
      </c>
      <c r="Y42">
        <v>13</v>
      </c>
      <c r="Z42">
        <v>10997.059256503</v>
      </c>
      <c r="AA42">
        <v>21432.6139676692</v>
      </c>
      <c r="AB42">
        <v>0.33910484328612001</v>
      </c>
    </row>
    <row r="43" spans="1:28" x14ac:dyDescent="0.25">
      <c r="A43">
        <v>14</v>
      </c>
      <c r="B43">
        <v>3537.07972928252</v>
      </c>
      <c r="C43">
        <v>1044.1709952031699</v>
      </c>
      <c r="D43">
        <v>0.77207730857813095</v>
      </c>
      <c r="E43">
        <v>14</v>
      </c>
      <c r="F43">
        <v>4191.10702278598</v>
      </c>
      <c r="G43">
        <v>390.14370169970402</v>
      </c>
      <c r="H43">
        <v>0.91483904174585395</v>
      </c>
      <c r="K43">
        <v>14</v>
      </c>
      <c r="L43">
        <v>4396.9730900000004</v>
      </c>
      <c r="M43">
        <v>13928.02981</v>
      </c>
      <c r="N43">
        <v>0.23994392308866799</v>
      </c>
      <c r="O43">
        <v>14</v>
      </c>
      <c r="P43">
        <v>10917.444767561699</v>
      </c>
      <c r="Q43">
        <v>7407.5581303810604</v>
      </c>
      <c r="R43">
        <v>0.59576769664725904</v>
      </c>
      <c r="U43">
        <v>14</v>
      </c>
      <c r="V43">
        <v>5465.9136399999998</v>
      </c>
      <c r="W43">
        <v>28435.34172</v>
      </c>
      <c r="X43">
        <v>0.16123042002025401</v>
      </c>
      <c r="Y43">
        <v>14</v>
      </c>
      <c r="Z43">
        <v>10995.7763957598</v>
      </c>
      <c r="AA43">
        <v>22905.4789654343</v>
      </c>
      <c r="AB43">
        <v>0.32434717471690899</v>
      </c>
    </row>
    <row r="44" spans="1:28" x14ac:dyDescent="0.25">
      <c r="A44">
        <v>15</v>
      </c>
      <c r="B44">
        <v>3530.0993213113502</v>
      </c>
      <c r="C44">
        <v>1210.9951883889501</v>
      </c>
      <c r="D44">
        <v>0.74457476308239601</v>
      </c>
      <c r="E44">
        <v>15</v>
      </c>
      <c r="F44">
        <v>4356.2526886379701</v>
      </c>
      <c r="G44">
        <v>384.841821062333</v>
      </c>
      <c r="H44">
        <v>0.91882848564293695</v>
      </c>
      <c r="K44">
        <v>15</v>
      </c>
      <c r="L44">
        <v>4388.2956700000004</v>
      </c>
      <c r="M44">
        <v>14576.08237</v>
      </c>
      <c r="N44">
        <v>0.23139676166333201</v>
      </c>
      <c r="O44">
        <v>15</v>
      </c>
      <c r="P44">
        <v>10947.9793141885</v>
      </c>
      <c r="Q44">
        <v>8016.3987246127099</v>
      </c>
      <c r="R44">
        <v>0.577291767322339</v>
      </c>
      <c r="U44">
        <v>15</v>
      </c>
      <c r="V44">
        <v>5455.1266699999996</v>
      </c>
      <c r="W44">
        <v>29628.972709999998</v>
      </c>
      <c r="X44">
        <v>0.155487151341651</v>
      </c>
      <c r="Y44">
        <v>15</v>
      </c>
      <c r="Z44">
        <v>11018.7070626516</v>
      </c>
      <c r="AA44">
        <v>24065.392309130701</v>
      </c>
      <c r="AB44">
        <v>0.31406555277043302</v>
      </c>
    </row>
    <row r="45" spans="1:28" x14ac:dyDescent="0.25">
      <c r="A45">
        <v>16</v>
      </c>
      <c r="B45">
        <v>3518.1328683624502</v>
      </c>
      <c r="C45">
        <v>1259.17031547074</v>
      </c>
      <c r="D45">
        <v>0.73642654296426402</v>
      </c>
      <c r="E45">
        <v>16</v>
      </c>
      <c r="F45">
        <v>4395.2646046416003</v>
      </c>
      <c r="G45">
        <v>382.038579191591</v>
      </c>
      <c r="H45">
        <v>0.92003049325308806</v>
      </c>
      <c r="K45">
        <v>16</v>
      </c>
      <c r="L45">
        <v>4373.4200899999996</v>
      </c>
      <c r="M45">
        <v>14735.792649999999</v>
      </c>
      <c r="N45">
        <v>0.228864482654797</v>
      </c>
      <c r="O45">
        <v>16</v>
      </c>
      <c r="P45">
        <v>11021.0048787093</v>
      </c>
      <c r="Q45">
        <v>8088.2078566235105</v>
      </c>
      <c r="R45">
        <v>0.57673777728851805</v>
      </c>
      <c r="U45">
        <v>16</v>
      </c>
      <c r="V45">
        <v>5436.6347100000003</v>
      </c>
      <c r="W45">
        <v>29915.40885</v>
      </c>
      <c r="X45">
        <v>0.15378558538531101</v>
      </c>
      <c r="Y45">
        <v>16</v>
      </c>
      <c r="Z45">
        <v>11074.833109732201</v>
      </c>
      <c r="AA45">
        <v>24277.210450633502</v>
      </c>
      <c r="AB45">
        <v>0.31327278409864101</v>
      </c>
    </row>
    <row r="46" spans="1:28" x14ac:dyDescent="0.25">
      <c r="A46">
        <v>17</v>
      </c>
      <c r="B46">
        <v>3503.1748203120501</v>
      </c>
      <c r="C46">
        <v>1385.64872738041</v>
      </c>
      <c r="D46">
        <v>0.71656806308044396</v>
      </c>
      <c r="E46">
        <v>17</v>
      </c>
      <c r="F46">
        <v>4528.7221635400301</v>
      </c>
      <c r="G46">
        <v>360.10138415242898</v>
      </c>
      <c r="H46">
        <v>0.92634191423775203</v>
      </c>
      <c r="K46">
        <v>17</v>
      </c>
      <c r="L46">
        <v>4354.8256300000003</v>
      </c>
      <c r="M46">
        <v>15200.468559999999</v>
      </c>
      <c r="N46">
        <v>0.22269292271872301</v>
      </c>
      <c r="O46">
        <v>17</v>
      </c>
      <c r="P46">
        <v>11103.4130660461</v>
      </c>
      <c r="Q46">
        <v>8451.8811247237209</v>
      </c>
      <c r="R46">
        <v>0.56779575687932904</v>
      </c>
      <c r="U46">
        <v>17</v>
      </c>
      <c r="V46">
        <v>5413.5197600000001</v>
      </c>
      <c r="W46">
        <v>30763.77449</v>
      </c>
      <c r="X46">
        <v>0.14963860294169001</v>
      </c>
      <c r="Y46">
        <v>17</v>
      </c>
      <c r="Z46">
        <v>11137.180668752</v>
      </c>
      <c r="AA46">
        <v>25040.113584172199</v>
      </c>
      <c r="AB46">
        <v>0.30785001749686702</v>
      </c>
    </row>
    <row r="47" spans="1:28" x14ac:dyDescent="0.25">
      <c r="A47">
        <v>18</v>
      </c>
      <c r="B47">
        <v>3513.1468522462801</v>
      </c>
      <c r="C47">
        <v>1373.5222496542001</v>
      </c>
      <c r="D47">
        <v>0.71892464559959302</v>
      </c>
      <c r="E47">
        <v>18</v>
      </c>
      <c r="F47">
        <v>4549.1960414446103</v>
      </c>
      <c r="G47">
        <v>337.47306045586902</v>
      </c>
      <c r="H47">
        <v>0.93094006297160103</v>
      </c>
      <c r="K47">
        <v>18</v>
      </c>
      <c r="L47">
        <v>4367.2219400000004</v>
      </c>
      <c r="M47">
        <v>15179.454470000001</v>
      </c>
      <c r="N47">
        <v>0.22342529429729299</v>
      </c>
      <c r="O47">
        <v>18</v>
      </c>
      <c r="P47">
        <v>11169.6134904274</v>
      </c>
      <c r="Q47">
        <v>8377.0629171745004</v>
      </c>
      <c r="R47">
        <v>0.57143287470004001</v>
      </c>
      <c r="U47">
        <v>18</v>
      </c>
      <c r="V47">
        <v>5428.9297299999998</v>
      </c>
      <c r="W47">
        <v>30732.421620000001</v>
      </c>
      <c r="X47">
        <v>0.15013072057853399</v>
      </c>
      <c r="Y47">
        <v>18</v>
      </c>
      <c r="Z47">
        <v>11198.2935600907</v>
      </c>
      <c r="AA47">
        <v>24963.057793972799</v>
      </c>
      <c r="AB47">
        <v>0.30967574885257498</v>
      </c>
    </row>
    <row r="48" spans="1:28" x14ac:dyDescent="0.25">
      <c r="A48">
        <v>19</v>
      </c>
      <c r="B48">
        <v>3506.1664298895098</v>
      </c>
      <c r="C48">
        <v>1450.3061336195101</v>
      </c>
      <c r="D48">
        <v>0.70739147346500397</v>
      </c>
      <c r="E48">
        <v>19</v>
      </c>
      <c r="F48">
        <v>4624.6373562121998</v>
      </c>
      <c r="G48">
        <v>331.83520729682198</v>
      </c>
      <c r="H48">
        <v>0.93305012727400405</v>
      </c>
      <c r="K48">
        <v>19</v>
      </c>
      <c r="L48">
        <v>4358.5445099999997</v>
      </c>
      <c r="M48">
        <v>15467.345740000001</v>
      </c>
      <c r="N48">
        <v>0.21984104886519801</v>
      </c>
      <c r="O48">
        <v>19</v>
      </c>
      <c r="P48">
        <v>11197.8785594003</v>
      </c>
      <c r="Q48">
        <v>8628.0116946357593</v>
      </c>
      <c r="R48">
        <v>0.56481088192852802</v>
      </c>
      <c r="U48">
        <v>19</v>
      </c>
      <c r="V48">
        <v>5418.14275</v>
      </c>
      <c r="W48">
        <v>31259.754219999999</v>
      </c>
      <c r="X48">
        <v>0.14772228524648801</v>
      </c>
      <c r="Y48">
        <v>19</v>
      </c>
      <c r="Z48">
        <v>11218.848567310601</v>
      </c>
      <c r="AA48">
        <v>25459.048402656099</v>
      </c>
      <c r="AB48">
        <v>0.30587491361614899</v>
      </c>
    </row>
    <row r="49" spans="1:29" x14ac:dyDescent="0.25">
      <c r="A49">
        <v>20</v>
      </c>
      <c r="B49">
        <v>3506.16643005796</v>
      </c>
      <c r="C49">
        <v>1393.85330898027</v>
      </c>
      <c r="D49">
        <v>0.71554128693084496</v>
      </c>
      <c r="E49">
        <v>20</v>
      </c>
      <c r="F49">
        <v>4564.2514709341804</v>
      </c>
      <c r="G49">
        <v>335.76826810405402</v>
      </c>
      <c r="H49">
        <v>0.93147613969205001</v>
      </c>
      <c r="K49">
        <v>20</v>
      </c>
      <c r="L49">
        <v>4358.5445200000004</v>
      </c>
      <c r="M49">
        <v>15241.534439999999</v>
      </c>
      <c r="N49">
        <v>0.22237382415269499</v>
      </c>
      <c r="O49">
        <v>20</v>
      </c>
      <c r="P49">
        <v>11223.8999851836</v>
      </c>
      <c r="Q49">
        <v>8376.1789709693403</v>
      </c>
      <c r="R49">
        <v>0.57264565159622205</v>
      </c>
      <c r="U49">
        <v>20</v>
      </c>
      <c r="V49">
        <v>5418.14275</v>
      </c>
      <c r="W49">
        <v>30842.00332</v>
      </c>
      <c r="X49">
        <v>0.149424184380817</v>
      </c>
      <c r="Y49">
        <v>20</v>
      </c>
      <c r="Z49">
        <v>11241.110003841401</v>
      </c>
      <c r="AA49">
        <v>25019.036065041499</v>
      </c>
      <c r="AB49">
        <v>0.31001281634350902</v>
      </c>
    </row>
    <row r="50" spans="1:29" x14ac:dyDescent="0.25">
      <c r="A50">
        <v>21</v>
      </c>
      <c r="B50">
        <v>3523.1189541635299</v>
      </c>
      <c r="C50">
        <v>1214.3985546557301</v>
      </c>
      <c r="D50">
        <v>0.74366352158170801</v>
      </c>
      <c r="E50">
        <v>21</v>
      </c>
      <c r="F50">
        <v>4398.8175134312696</v>
      </c>
      <c r="G50">
        <v>338.69999538798203</v>
      </c>
      <c r="H50">
        <v>0.92850686150342099</v>
      </c>
      <c r="K50">
        <v>21</v>
      </c>
      <c r="L50">
        <v>4379.6182500000004</v>
      </c>
      <c r="M50">
        <v>14570.451779999999</v>
      </c>
      <c r="N50">
        <v>0.23111356507811301</v>
      </c>
      <c r="O50">
        <v>21</v>
      </c>
      <c r="P50">
        <v>11268.664397573501</v>
      </c>
      <c r="Q50">
        <v>7681.4056377034804</v>
      </c>
      <c r="R50">
        <v>0.59465027710166996</v>
      </c>
      <c r="U50">
        <v>21</v>
      </c>
      <c r="V50">
        <v>5444.3397000000004</v>
      </c>
      <c r="W50">
        <v>29613.289870000001</v>
      </c>
      <c r="X50">
        <v>0.155296857070164</v>
      </c>
      <c r="Y50">
        <v>21</v>
      </c>
      <c r="Z50">
        <v>11289.3990853492</v>
      </c>
      <c r="AA50">
        <v>23768.2304799132</v>
      </c>
      <c r="AB50">
        <v>0.32202402801744301</v>
      </c>
    </row>
    <row r="51" spans="1:29" x14ac:dyDescent="0.25">
      <c r="A51">
        <v>22</v>
      </c>
      <c r="B51">
        <v>3578.9622786637001</v>
      </c>
      <c r="C51">
        <v>972.32748623872999</v>
      </c>
      <c r="D51">
        <v>0.78636221017240004</v>
      </c>
      <c r="E51">
        <v>22</v>
      </c>
      <c r="F51">
        <v>4222.2462905308903</v>
      </c>
      <c r="G51">
        <v>329.04347437153803</v>
      </c>
      <c r="H51">
        <v>0.92770324647114799</v>
      </c>
      <c r="K51">
        <v>22</v>
      </c>
      <c r="L51">
        <v>4449.0376100000003</v>
      </c>
      <c r="M51">
        <v>13756.121450000001</v>
      </c>
      <c r="N51">
        <v>0.24438334189849001</v>
      </c>
      <c r="O51">
        <v>22</v>
      </c>
      <c r="P51">
        <v>11232.404321841301</v>
      </c>
      <c r="Q51">
        <v>6972.7547377684004</v>
      </c>
      <c r="R51">
        <v>0.616990177622876</v>
      </c>
      <c r="U51">
        <v>22</v>
      </c>
      <c r="V51">
        <v>5530.6354799999999</v>
      </c>
      <c r="W51">
        <v>28148.908780000002</v>
      </c>
      <c r="X51">
        <v>0.16421348926285601</v>
      </c>
      <c r="Y51">
        <v>22</v>
      </c>
      <c r="Z51">
        <v>11420.497286037</v>
      </c>
      <c r="AA51">
        <v>22259.0469742409</v>
      </c>
      <c r="AB51">
        <v>0.339092987653829</v>
      </c>
    </row>
    <row r="52" spans="1:29" x14ac:dyDescent="0.25">
      <c r="A52">
        <v>23</v>
      </c>
      <c r="B52">
        <v>3626.8280164246298</v>
      </c>
      <c r="C52">
        <v>805.88291520713301</v>
      </c>
      <c r="D52">
        <v>0.81819637516708699</v>
      </c>
      <c r="E52">
        <v>23</v>
      </c>
      <c r="F52">
        <v>4098.8803742257496</v>
      </c>
      <c r="G52">
        <v>333.83055740600997</v>
      </c>
      <c r="H52">
        <v>0.92468930129781302</v>
      </c>
      <c r="K52">
        <v>23</v>
      </c>
      <c r="L52">
        <v>4508.5399299999999</v>
      </c>
      <c r="M52">
        <v>13222.3038</v>
      </c>
      <c r="N52">
        <v>0.25427667145623301</v>
      </c>
      <c r="O52">
        <v>23</v>
      </c>
      <c r="P52">
        <v>11513.0754427107</v>
      </c>
      <c r="Q52">
        <v>6217.76828381634</v>
      </c>
      <c r="R52">
        <v>0.64932473718021899</v>
      </c>
      <c r="U52">
        <v>23</v>
      </c>
      <c r="V52">
        <v>5604.6032999999998</v>
      </c>
      <c r="W52">
        <v>27197.457600000002</v>
      </c>
      <c r="X52">
        <v>0.17086131612449801</v>
      </c>
      <c r="Y52">
        <v>23</v>
      </c>
      <c r="Z52">
        <v>11545.5147677351</v>
      </c>
      <c r="AA52">
        <v>21256.546126339901</v>
      </c>
      <c r="AB52">
        <v>0.35197528609614198</v>
      </c>
    </row>
    <row r="53" spans="1:29" x14ac:dyDescent="0.25">
      <c r="A53">
        <v>24</v>
      </c>
      <c r="B53">
        <v>3669.7077851894201</v>
      </c>
      <c r="C53">
        <v>938.00519308782305</v>
      </c>
      <c r="D53">
        <v>0.79642716516632295</v>
      </c>
      <c r="E53">
        <v>24</v>
      </c>
      <c r="F53">
        <v>4274.6562100000001</v>
      </c>
      <c r="G53">
        <v>333.05676999999997</v>
      </c>
      <c r="H53">
        <v>0.92771999999999999</v>
      </c>
      <c r="K53">
        <v>24</v>
      </c>
      <c r="L53">
        <v>4561.8440799999998</v>
      </c>
      <c r="M53">
        <v>13869.00783</v>
      </c>
      <c r="N53">
        <v>0.24751129837479599</v>
      </c>
      <c r="O53">
        <v>24</v>
      </c>
      <c r="P53">
        <v>11573.9309020864</v>
      </c>
      <c r="Q53">
        <v>6856.9210110226204</v>
      </c>
      <c r="R53">
        <v>0.62796505319726303</v>
      </c>
      <c r="U53">
        <v>24</v>
      </c>
      <c r="V53">
        <v>5670.8661400000001</v>
      </c>
      <c r="W53">
        <v>28426.209900000002</v>
      </c>
      <c r="X53">
        <v>0.16631532062857199</v>
      </c>
      <c r="Y53">
        <v>24</v>
      </c>
      <c r="Z53">
        <v>11667.3963130499</v>
      </c>
      <c r="AA53">
        <v>22429.679726201699</v>
      </c>
      <c r="AB53">
        <v>0.34218172548340198</v>
      </c>
    </row>
    <row r="55" spans="1:29" x14ac:dyDescent="0.25">
      <c r="D55">
        <f>AVERAGE(D30:D53)</f>
        <v>0.78596418890534991</v>
      </c>
      <c r="H55">
        <f>AVERAGE(H30:H53)</f>
        <v>0.92197711774649138</v>
      </c>
      <c r="N55">
        <f>AVERAGE(N30:N53)</f>
        <v>0.24450458928483843</v>
      </c>
      <c r="R55">
        <f>AVERAGE(R30:R53)</f>
        <v>0.61465788120063769</v>
      </c>
      <c r="S55">
        <f>(R55-N55)/N55</f>
        <v>1.5138909784821459</v>
      </c>
      <c r="X55">
        <f>AVERAGE(X30:X53)</f>
        <v>0.16429497268988452</v>
      </c>
      <c r="AB55">
        <f>AVERAGE(AB30:AB53)</f>
        <v>0.33477478446263298</v>
      </c>
      <c r="AC55">
        <f>(AB55-X55)/X55</f>
        <v>1.0376447251039029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Sheng Wang</cp:lastModifiedBy>
  <dcterms:created xsi:type="dcterms:W3CDTF">2015-06-05T18:19:34Z</dcterms:created>
  <dcterms:modified xsi:type="dcterms:W3CDTF">2024-04-15T14:05:02Z</dcterms:modified>
</cp:coreProperties>
</file>